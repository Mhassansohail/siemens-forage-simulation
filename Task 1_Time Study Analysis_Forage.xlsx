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525d529021d065/Desktop/"/>
    </mc:Choice>
  </mc:AlternateContent>
  <xr:revisionPtr revIDLastSave="0" documentId="8_{57625F4D-42AA-4186-9635-E98FD2C9E4A0}" xr6:coauthVersionLast="47" xr6:coauthVersionMax="47" xr10:uidLastSave="{00000000-0000-0000-0000-000000000000}"/>
  <bookViews>
    <workbookView xWindow="-108" yWindow="-108" windowWidth="23256" windowHeight="12456" activeTab="3" xr2:uid="{39EEBCFD-057A-8249-B43F-848C787B65F8}"/>
  </bookViews>
  <sheets>
    <sheet name="Aurora Express Time Study" sheetId="1" r:id="rId1"/>
    <sheet name="Analysis" sheetId="7" r:id="rId2"/>
    <sheet name="Sheet1" sheetId="9" r:id="rId3"/>
    <sheet name="Findings &amp; Recommendati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U35" i="7"/>
  <c r="U34" i="7"/>
  <c r="U32" i="7"/>
  <c r="U33" i="7"/>
  <c r="U31" i="7"/>
  <c r="N11" i="8"/>
  <c r="N10" i="8"/>
  <c r="N7" i="8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4" i="7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9" i="1"/>
  <c r="O5" i="7"/>
  <c r="P5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4" i="7"/>
  <c r="P4" i="7" s="1"/>
  <c r="T9" i="7" l="1"/>
  <c r="S14" i="7"/>
  <c r="T14" i="7" s="1"/>
  <c r="S4" i="7"/>
  <c r="T4" i="7" s="1"/>
  <c r="S12" i="7"/>
  <c r="T12" i="7" s="1"/>
  <c r="P24" i="7"/>
  <c r="S13" i="7"/>
  <c r="T13" i="7" s="1"/>
  <c r="O24" i="7"/>
  <c r="S18" i="7"/>
  <c r="T18" i="7" s="1"/>
  <c r="S8" i="7"/>
  <c r="T8" i="7" s="1"/>
  <c r="S7" i="7"/>
  <c r="T23" i="7" s="1"/>
  <c r="S6" i="7"/>
  <c r="S20" i="7"/>
  <c r="T20" i="7" s="1"/>
  <c r="S19" i="7"/>
  <c r="T19" i="7" s="1"/>
  <c r="S23" i="7"/>
  <c r="S11" i="7"/>
  <c r="S5" i="7"/>
  <c r="T6" i="7" s="1"/>
  <c r="S16" i="7"/>
  <c r="T16" i="7" s="1"/>
  <c r="S17" i="7"/>
  <c r="T17" i="7" s="1"/>
  <c r="S15" i="7"/>
  <c r="T15" i="7" s="1"/>
  <c r="S22" i="7"/>
  <c r="T22" i="7" s="1"/>
  <c r="S10" i="7"/>
  <c r="S21" i="7"/>
  <c r="T21" i="7" s="1"/>
  <c r="S9" i="7"/>
  <c r="T10" i="7" l="1"/>
  <c r="T5" i="7"/>
  <c r="T11" i="7"/>
  <c r="U11" i="7" s="1"/>
  <c r="T7" i="7"/>
  <c r="U7" i="7" l="1"/>
  <c r="U12" i="7"/>
  <c r="U18" i="7"/>
  <c r="U5" i="7"/>
  <c r="U4" i="7"/>
  <c r="U6" i="7"/>
  <c r="U16" i="7"/>
  <c r="U13" i="7"/>
  <c r="U17" i="7"/>
  <c r="U15" i="7"/>
  <c r="U8" i="7"/>
  <c r="U10" i="7"/>
  <c r="U23" i="7"/>
  <c r="U9" i="7"/>
  <c r="U21" i="7"/>
  <c r="U22" i="7"/>
  <c r="U19" i="7"/>
  <c r="U14" i="7"/>
  <c r="U20" i="7"/>
</calcChain>
</file>

<file path=xl/sharedStrings.xml><?xml version="1.0" encoding="utf-8"?>
<sst xmlns="http://schemas.openxmlformats.org/spreadsheetml/2006/main" count="225" uniqueCount="151">
  <si>
    <t>Recorder</t>
  </si>
  <si>
    <t>Operator</t>
  </si>
  <si>
    <t>Date</t>
  </si>
  <si>
    <t>Company</t>
  </si>
  <si>
    <t>Assembly</t>
  </si>
  <si>
    <t>Aurora Express Wheel</t>
  </si>
  <si>
    <t>Element Description</t>
  </si>
  <si>
    <t>Forager</t>
  </si>
  <si>
    <t>MM/DD/YYY</t>
  </si>
  <si>
    <t>Units Made</t>
  </si>
  <si>
    <t>Siemens Mobility</t>
  </si>
  <si>
    <t>No:</t>
  </si>
  <si>
    <t>Observed Time</t>
  </si>
  <si>
    <t>Retrieve wheel components from storage</t>
  </si>
  <si>
    <t>Setup workspace and tools</t>
  </si>
  <si>
    <t>Inspect components for defects</t>
  </si>
  <si>
    <t>Assemble hub to wheel frame</t>
  </si>
  <si>
    <t>Secure hub with bolts</t>
  </si>
  <si>
    <t>Lubricate wheel bearings</t>
  </si>
  <si>
    <t>Install bearings into hub</t>
  </si>
  <si>
    <t>Attach wheel sensors</t>
  </si>
  <si>
    <t>Test sensor functionality</t>
  </si>
  <si>
    <t>Fit brake discs to hub</t>
  </si>
  <si>
    <t>Install brake calipers</t>
  </si>
  <si>
    <t>Connect brake lines</t>
  </si>
  <si>
    <t>Bleed brake system</t>
  </si>
  <si>
    <t>Mount wheel to axle</t>
  </si>
  <si>
    <t>Secure wheel with locking mechanism</t>
  </si>
  <si>
    <t>Conduct wheel alignment</t>
  </si>
  <si>
    <t>Perform functional test of wheel assembly</t>
  </si>
  <si>
    <t>Clean assembly area</t>
  </si>
  <si>
    <t>Document assembly process</t>
  </si>
  <si>
    <t>Transport assembly to next section</t>
  </si>
  <si>
    <t>Notes</t>
  </si>
  <si>
    <t>Average</t>
  </si>
  <si>
    <t>Range</t>
  </si>
  <si>
    <t>Time varies by storage efficiency and distance.</t>
  </si>
  <si>
    <t>Dependent on organization and availability of tools.</t>
  </si>
  <si>
    <t>Critical for quality, variability in defect rates.</t>
  </si>
  <si>
    <t>Precision task, requiring manual dexterity.</t>
  </si>
  <si>
    <t>Utilizes specialized tools; time varies by tool efficiency.</t>
  </si>
  <si>
    <t>Standardized process, but slight variations in application technique.</t>
  </si>
  <si>
    <t>Requires precision; misalignment can lead to rework.</t>
  </si>
  <si>
    <t>Involves delicate handling and precision placement.</t>
  </si>
  <si>
    <t>Critical step, time varies based on sensor performance.</t>
  </si>
  <si>
    <t>Involves heavy lifting and precise alignment.</t>
  </si>
  <si>
    <t>Complex assembly with multiple components.</t>
  </si>
  <si>
    <t>Requires careful routing and secure connections.</t>
  </si>
  <si>
    <t>Essential for operation; time varies with technique.</t>
  </si>
  <si>
    <t>Heaviest component, requires crane; timing varies by equipment availability.</t>
  </si>
  <si>
    <t>Critical for safety; involves torque wrench.</t>
  </si>
  <si>
    <t>Requires specialized equipment; alignment precision is key.</t>
  </si>
  <si>
    <t>Comprehensive testing, variability in findings.</t>
  </si>
  <si>
    <t>Essential for maintaining a safe work environment.</t>
  </si>
  <si>
    <t>Required for quality control and future reference.</t>
  </si>
  <si>
    <t>Efficiency depends on workshop layout and transport availability.</t>
  </si>
  <si>
    <t>Observed Time (Seconds)</t>
  </si>
  <si>
    <t>Step No.</t>
  </si>
  <si>
    <t>Obs 1</t>
  </si>
  <si>
    <t>Obs 2</t>
  </si>
  <si>
    <t>Obs 3</t>
  </si>
  <si>
    <t>Obs 4</t>
  </si>
  <si>
    <t>Obs 5</t>
  </si>
  <si>
    <t>Obs 6</t>
  </si>
  <si>
    <t>Obs 7</t>
  </si>
  <si>
    <t>Obs 8</t>
  </si>
  <si>
    <t>Obs 10</t>
  </si>
  <si>
    <t>Obs 9</t>
  </si>
  <si>
    <t>Standard Deviation</t>
  </si>
  <si>
    <t>Range(Sec)</t>
  </si>
  <si>
    <t>Coefficient of Variation (%)</t>
  </si>
  <si>
    <t>AURORA EXPRESS WHEEL ASSEMBLY -TIME STUDY ANALYSIS</t>
  </si>
  <si>
    <t>Total End to End Cycle time</t>
  </si>
  <si>
    <t>Avg (sec)</t>
  </si>
  <si>
    <t>Avg (hr:Min:Sec)</t>
  </si>
  <si>
    <t>`</t>
  </si>
  <si>
    <t>Weighted composite score</t>
  </si>
  <si>
    <t>Rank based on composite score</t>
  </si>
  <si>
    <t>LEGEND</t>
  </si>
  <si>
    <t xml:space="preserve">  Primary Bottlenecks Step 14 Highest duration </t>
  </si>
  <si>
    <t xml:space="preserve">  Primary Bottlenecks Step 6 duration is low but very high variation</t>
  </si>
  <si>
    <t>Priority</t>
  </si>
  <si>
    <t>High</t>
  </si>
  <si>
    <t xml:space="preserve">  Secondary Bottleneck Steps 16 with second highest duration</t>
  </si>
  <si>
    <t xml:space="preserve">  Secondary Bottleneck Steps 4 with third highest duration</t>
  </si>
  <si>
    <t xml:space="preserve">  Secondary Bottleneck Steps 13 with fourth highest duration</t>
  </si>
  <si>
    <t>Step</t>
  </si>
  <si>
    <t>Type</t>
  </si>
  <si>
    <t>Key Metrics</t>
  </si>
  <si>
    <t>Step 14: Mount wheel to axle</t>
  </si>
  <si>
    <t>PRIMARY</t>
  </si>
  <si>
    <t>SECONDARY</t>
  </si>
  <si>
    <t>Step 4: Assemble hub to wheel frame</t>
  </si>
  <si>
    <t>Step 6: Lubricate wheel bearings</t>
  </si>
  <si>
    <t>Step 16: Align wheel assembly</t>
  </si>
  <si>
    <t>Step 13: Bleed brake system</t>
  </si>
  <si>
    <t>Medium</t>
  </si>
  <si>
    <t>Avg</t>
  </si>
  <si>
    <t>CV (%)</t>
  </si>
  <si>
    <t>Cycle (%)</t>
  </si>
  <si>
    <t>SD</t>
  </si>
  <si>
    <t>324.5 s (5:24)</t>
  </si>
  <si>
    <t>23 s (5:12 - 5:35)</t>
  </si>
  <si>
    <t>161 s</t>
  </si>
  <si>
    <t>26 s</t>
  </si>
  <si>
    <t>12.0% (Highest)</t>
  </si>
  <si>
    <t>27 s</t>
  </si>
  <si>
    <t>256 s (4.16)</t>
  </si>
  <si>
    <t>238.3 s</t>
  </si>
  <si>
    <t>25 s</t>
  </si>
  <si>
    <t>264 s</t>
  </si>
  <si>
    <t xml:space="preserve">Root Cause </t>
  </si>
  <si>
    <t>Recommendations</t>
  </si>
  <si>
    <t>~30–40% CV reduction
 (not duration saving)</t>
  </si>
  <si>
    <t>Guestimate Rationale and reference</t>
  </si>
  <si>
    <t>Guestimated time reduction
 (based on lower limit of %s)</t>
  </si>
  <si>
    <r>
      <rPr>
        <b/>
        <sz val="20"/>
        <color theme="1"/>
        <rFont val="Aptos Narrow"/>
        <family val="2"/>
        <scheme val="minor"/>
      </rPr>
      <t xml:space="preserve">The 15–20% saving estimate is grounded in three evidence sources:
</t>
    </r>
    <r>
      <rPr>
        <sz val="20"/>
        <color theme="1"/>
        <rFont val="Aptos Narrow"/>
        <family val="2"/>
        <scheme val="minor"/>
      </rPr>
      <t xml:space="preserve">
</t>
    </r>
    <r>
      <rPr>
        <b/>
        <sz val="20"/>
        <color theme="1"/>
        <rFont val="Aptos Narrow"/>
        <family val="2"/>
        <scheme val="minor"/>
      </rPr>
      <t>1. Equipment availability literature:</t>
    </r>
    <r>
      <rPr>
        <sz val="20"/>
        <color theme="1"/>
        <rFont val="Aptos Narrow"/>
        <family val="2"/>
        <scheme val="minor"/>
      </rPr>
      <t xml:space="preserve"> When a shared crane is converted to a dedicated resource, queuing delay (the dominant cause here given low CV = 2.4%) is eliminated. Factory Physics (Hopp &amp; Spearman) shows that reducing resource utilisation from ~90% to ~70% by dedicating a resource cuts average queue time by 50–75%.
</t>
    </r>
    <r>
      <rPr>
        <b/>
        <sz val="20"/>
        <color theme="1"/>
        <rFont val="Aptos Narrow"/>
        <family val="2"/>
        <scheme val="minor"/>
      </rPr>
      <t>2. Comparable case:</t>
    </r>
    <r>
      <rPr>
        <sz val="20"/>
        <color theme="1"/>
        <rFont val="Aptos Narrow"/>
        <family val="2"/>
        <scheme val="minor"/>
      </rPr>
      <t xml:space="preserve"> Lathashankar et al. (2018): In a 4-Ton compactor tack welding case, introducing a dedicated fixture (eliminating manual crane-and-hook trial-and-error) reduced front chassis cycle time by 20% and rear chassis by 18%. The mechanism is identical — replacing shared, unscheduled lifting equipment with a dedicated setup.
</t>
    </r>
    <r>
      <rPr>
        <b/>
        <sz val="20"/>
        <color theme="1"/>
        <rFont val="Aptos Narrow"/>
        <family val="2"/>
        <scheme val="minor"/>
      </rPr>
      <t>3. Lean literature</t>
    </r>
    <r>
      <rPr>
        <sz val="20"/>
        <color theme="1"/>
        <rFont val="Aptos Narrow"/>
        <family val="2"/>
        <scheme val="minor"/>
      </rPr>
      <t xml:space="preserve"> (Malik et al., 2011): After implementing industrial engineering cycle reduction techniques focused on equipment allocation, production time was reduced by 24%. A 15–20% estimate for a single step is therefore conservative relative to these precedents.</t>
    </r>
  </si>
  <si>
    <r>
      <rPr>
        <b/>
        <sz val="20"/>
        <color theme="1"/>
        <rFont val="Aptos Narrow"/>
        <family val="2"/>
        <scheme val="minor"/>
      </rPr>
      <t>The target here is CV reduction (12% → ~7–8%), not cycle time duration. The rationale:</t>
    </r>
    <r>
      <rPr>
        <sz val="20"/>
        <color theme="1"/>
        <rFont val="Aptos Narrow"/>
        <family val="2"/>
        <scheme val="minor"/>
      </rPr>
      <t xml:space="preserve">
</t>
    </r>
    <r>
      <rPr>
        <b/>
        <sz val="20"/>
        <color theme="1"/>
        <rFont val="Aptos Narrow"/>
        <family val="2"/>
        <scheme val="minor"/>
      </rPr>
      <t>1. Manual vs. automated dispense CV data:</t>
    </r>
    <r>
      <rPr>
        <sz val="20"/>
        <color theme="1"/>
        <rFont val="Aptos Narrow"/>
        <family val="2"/>
        <scheme val="minor"/>
      </rPr>
      <t xml:space="preserve"> In laboratory and industrial settings, switching from manual pipetting/dispensing to calibrated automated dispensing tools reduces inter-operator CV from 10–15% down to 2–5% (Thermo Fisher Scientific application notes; ISO 8655 pipetting standards). A 30–40% reduction in CV is a conservative estimate of this effect.
</t>
    </r>
    <r>
      <rPr>
        <b/>
        <sz val="20"/>
        <color theme="1"/>
        <rFont val="Aptos Narrow"/>
        <family val="2"/>
        <scheme val="minor"/>
      </rPr>
      <t>2. Bearing assembly research:</t>
    </r>
    <r>
      <rPr>
        <sz val="20"/>
        <color theme="1"/>
        <rFont val="Aptos Narrow"/>
        <family val="2"/>
        <scheme val="minor"/>
      </rPr>
      <t xml:space="preserve"> Skf &amp; Schaeffler engineering guides document that inconsistent grease quantity is the leading cause of premature bearing failure in wheel assemblies. Standardising to a calibrated dispenser is classified as a low-cost, high-impact intervention.
</t>
    </r>
    <r>
      <rPr>
        <b/>
        <sz val="20"/>
        <color theme="1"/>
        <rFont val="Aptos Narrow"/>
        <family val="2"/>
        <scheme val="minor"/>
      </rPr>
      <t>3. Process variability reduction from tooling (Antil &amp; Budhiraja, 2013):</t>
    </r>
    <r>
      <rPr>
        <sz val="20"/>
        <color theme="1"/>
        <rFont val="Aptos Narrow"/>
        <family val="2"/>
        <scheme val="minor"/>
      </rPr>
      <t xml:space="preserve"> By modifying tools and fixtures in a manufacturing process, rejection rate was reduced and production consistency improved — the mechanism being elimination of operator-dependent variation. A 30–40% CV reduction for a manual dispensing step is consistent with this class of improvement.</t>
    </r>
  </si>
  <si>
    <r>
      <rPr>
        <b/>
        <sz val="20"/>
        <color theme="1"/>
        <rFont val="Aptos Narrow"/>
        <family val="2"/>
        <scheme val="minor"/>
      </rPr>
      <t xml:space="preserve">1. Manual vs. laser alignment studies: </t>
    </r>
    <r>
      <rPr>
        <sz val="20"/>
        <color theme="1"/>
        <rFont val="Aptos Narrow"/>
        <family val="2"/>
        <scheme val="minor"/>
      </rPr>
      <t xml:space="preserve">Diaz et al. (2017) conducted a cycle time study for aircraft wing spar assembly and found that introducing guided alignment tools (replacing manual judgment) could reduce alignment cycle time by up to 20%. A conservative 10–15% is used here given wheel assembly is a simpler geometry than wing spar.
</t>
    </r>
    <r>
      <rPr>
        <b/>
        <sz val="20"/>
        <color theme="1"/>
        <rFont val="Aptos Narrow"/>
        <family val="2"/>
        <scheme val="minor"/>
      </rPr>
      <t xml:space="preserve">2. Computer-aided vs. manual measurement (imaging literature): </t>
    </r>
    <r>
      <rPr>
        <sz val="20"/>
        <color theme="1"/>
        <rFont val="Aptos Narrow"/>
        <family val="2"/>
        <scheme val="minor"/>
      </rPr>
      <t xml:space="preserve">Studies comparing manual tracing to computer-aided measurement show manual CV of ~32–33% vs. CAC CV of ~19% — a 40% CV reduction. For time, alignment tasks guided by a reference tool (laser) vs. manual eyeballing reduce duration by 10–20% by eliminating repeated trial passes.
</t>
    </r>
    <r>
      <rPr>
        <b/>
        <sz val="20"/>
        <color theme="1"/>
        <rFont val="Aptos Narrow"/>
        <family val="2"/>
        <scheme val="minor"/>
      </rPr>
      <t>3. Naveen &amp; Ramesh Babu (2015):</t>
    </r>
    <r>
      <rPr>
        <sz val="20"/>
        <color theme="1"/>
        <rFont val="Aptos Narrow"/>
        <family val="2"/>
        <scheme val="minor"/>
      </rPr>
      <t xml:space="preserve"> Using cause-and-effect analysis and corrective tooling on manual assembly steps, production rate improvement of 10–18% was documented. Laser alignment is a stronger intervention than basic tooling changes, so 10–15% is again conservative.</t>
    </r>
  </si>
  <si>
    <r>
      <rPr>
        <b/>
        <sz val="20"/>
        <color theme="1"/>
        <rFont val="Aptos Narrow"/>
        <family val="2"/>
        <scheme val="minor"/>
      </rPr>
      <t>1. SOP and standardised work impact (Lean literature):</t>
    </r>
    <r>
      <rPr>
        <sz val="20"/>
        <color theme="1"/>
        <rFont val="Aptos Narrow"/>
        <family val="2"/>
        <scheme val="minor"/>
      </rPr>
      <t xml:space="preserve"> Kumar &amp; Kumar (2014) documented a truck body assembly line where implementing lean principles including standardised work instructions reduced cycle time by measurable amounts at individual stations — the primary mechanism being elimination of operator hesitation and rework. A 5–8% reduction per step is consistent with SOP-only interventions (without capital investment).
</t>
    </r>
    <r>
      <rPr>
        <b/>
        <sz val="20"/>
        <color theme="1"/>
        <rFont val="Aptos Narrow"/>
        <family val="2"/>
        <scheme val="minor"/>
      </rPr>
      <t xml:space="preserve">2. Mishra (2015): </t>
    </r>
    <r>
      <rPr>
        <sz val="20"/>
        <color theme="1"/>
        <rFont val="Aptos Narrow"/>
        <family val="2"/>
        <scheme val="minor"/>
      </rPr>
      <t xml:space="preserve">Productivity improvement through method study principles (standardisation, documented SOPs) achieved meaningful cycle time reduction in automobile assembly — confirming that procedural interventions alone yield 5–10% gains without tooling changes.
</t>
    </r>
    <r>
      <rPr>
        <b/>
        <sz val="20"/>
        <color theme="1"/>
        <rFont val="Aptos Narrow"/>
        <family val="2"/>
        <scheme val="minor"/>
      </rPr>
      <t xml:space="preserve">3. Learning curve effect: </t>
    </r>
    <r>
      <rPr>
        <sz val="20"/>
        <color theme="1"/>
        <rFont val="Aptos Narrow"/>
        <family val="2"/>
        <scheme val="minor"/>
      </rPr>
      <t>Assembly operations without SOPs exhibit steeper operator learning curves. Video-based SOPs are documented to reduce time-to-competency by 20–40% for new operators (training literature), which reduces the variance that inflates average cycle time across a mixed-experience workforce.</t>
    </r>
  </si>
  <si>
    <t xml:space="preserve">~15–20% on Step 14 duration 
</t>
  </si>
  <si>
    <t xml:space="preserve">~10–15% on Step 16 duration 
</t>
  </si>
  <si>
    <t xml:space="preserve">~5–8% on Steps 4 
 </t>
  </si>
  <si>
    <t>~5–8% on Steps 13</t>
  </si>
  <si>
    <r>
      <rPr>
        <b/>
        <sz val="20"/>
        <color theme="1"/>
        <rFont val="Aptos Narrow"/>
        <family val="2"/>
        <scheme val="minor"/>
      </rPr>
      <t>Same SOP rationale as Step 4 applies (see above). Specifically for brake bleeding:</t>
    </r>
    <r>
      <rPr>
        <sz val="20"/>
        <color theme="1"/>
        <rFont val="Aptos Narrow"/>
        <family val="2"/>
        <scheme val="minor"/>
      </rPr>
      <t xml:space="preserve">
</t>
    </r>
    <r>
      <rPr>
        <b/>
        <sz val="20"/>
        <color theme="1"/>
        <rFont val="Aptos Narrow"/>
        <family val="2"/>
        <scheme val="minor"/>
      </rPr>
      <t>1. Automotive brake bleed standardisation: In automotive assembly,</t>
    </r>
    <r>
      <rPr>
        <sz val="20"/>
        <color theme="1"/>
        <rFont val="Aptos Narrow"/>
        <family val="2"/>
        <scheme val="minor"/>
      </rPr>
      <t xml:space="preserve"> brake bleeding is one of the most operator-skill-dependent operations. OEM studies (Toyota Production System documentation) show that standardised work sequences for fluid-fill and bleed operations reduce cycle time variance by 30–50% and mean time by 5–10% by eliminating redundant passes and hesitation time.
</t>
    </r>
    <r>
      <rPr>
        <b/>
        <sz val="20"/>
        <color theme="1"/>
        <rFont val="Aptos Narrow"/>
        <family val="2"/>
        <scheme val="minor"/>
      </rPr>
      <t>2. Safety-critical operation conservatism:</t>
    </r>
    <r>
      <rPr>
        <sz val="20"/>
        <color theme="1"/>
        <rFont val="Aptos Narrow"/>
        <family val="2"/>
        <scheme val="minor"/>
      </rPr>
      <t xml:space="preserve"> Because this step is safety-critical, the 5–8% estimate deliberately excludes any time pressure — the SOP's primary goal is consistency and defect elimination, with time saving as a secondary benefit. Trying to aggressively cut time on a brake bleed step carries quality risk.
</t>
    </r>
    <r>
      <rPr>
        <b/>
        <sz val="20"/>
        <color theme="1"/>
        <rFont val="Aptos Narrow"/>
        <family val="2"/>
        <scheme val="minor"/>
      </rPr>
      <t xml:space="preserve">3. Shayea et al. (2011): </t>
    </r>
    <r>
      <rPr>
        <sz val="20"/>
        <color theme="1"/>
        <rFont val="Aptos Narrow"/>
        <family val="2"/>
        <scheme val="minor"/>
      </rPr>
      <t>Productivity improvement model without increasing operation risk and fatigue showed that formalising procedure on safety-sensitive steps reduces both time and error rate simultaneously — the key mechanism being reduced cognitive load on operators.</t>
    </r>
  </si>
  <si>
    <t>Consolidated Bottleneck Analysis  &amp; Recommendation</t>
  </si>
  <si>
    <t>Current Cycle Time</t>
  </si>
  <si>
    <t>3724 seconds per 20 steps</t>
  </si>
  <si>
    <r>
      <rPr>
        <b/>
        <sz val="25"/>
        <color theme="1"/>
        <rFont val="Aptos Narrow"/>
        <family val="2"/>
        <scheme val="minor"/>
      </rPr>
      <t xml:space="preserve">Equipment dependency: 
</t>
    </r>
    <r>
      <rPr>
        <sz val="25"/>
        <color theme="1"/>
        <rFont val="Aptos Narrow"/>
        <family val="2"/>
        <scheme val="minor"/>
      </rPr>
      <t>Crane-assisted heavy lift creates queue times &amp; scheduling conflicts. 
Low CV (2.4%) confirms delay is structural, not operator-dependent
process is consistent but slow.</t>
    </r>
  </si>
  <si>
    <r>
      <rPr>
        <b/>
        <sz val="25"/>
        <color theme="1"/>
        <rFont val="Aptos Narrow"/>
        <family val="2"/>
        <scheme val="minor"/>
      </rPr>
      <t>Introduce dedicated overhead crane station</t>
    </r>
    <r>
      <rPr>
        <sz val="25"/>
        <color theme="1"/>
        <rFont val="Aptos Narrow"/>
        <family val="2"/>
        <scheme val="minor"/>
      </rPr>
      <t xml:space="preserve"> :Assign a permanent crane and operator exclusively to the wheel mounting zone. Eliminates \\equipment queue time. </t>
    </r>
  </si>
  <si>
    <r>
      <rPr>
        <b/>
        <sz val="25"/>
        <color theme="1"/>
        <rFont val="Aptos Narrow"/>
        <family val="2"/>
        <scheme val="minor"/>
      </rPr>
      <t>Manual technique variability:</t>
    </r>
    <r>
      <rPr>
        <sz val="25"/>
        <color theme="1"/>
        <rFont val="Aptos Narrow"/>
        <family val="2"/>
        <scheme val="minor"/>
      </rPr>
      <t xml:space="preserve"> 
Specialised bearing lubrication is done by hand so the amount of oil applied and technique varies operator-to-operator. 
High CV (12%) is the signal: 
This is not a slow step but an inconsistent one, creating downstream bearing failures and rework risk.</t>
    </r>
  </si>
  <si>
    <r>
      <rPr>
        <b/>
        <sz val="25"/>
        <color theme="1"/>
        <rFont val="Aptos Narrow"/>
        <family val="2"/>
        <scheme val="minor"/>
      </rPr>
      <t xml:space="preserve">Standardise lubrication via calibrated dispensing tool:
</t>
    </r>
    <r>
      <rPr>
        <sz val="25"/>
        <color theme="1"/>
        <rFont val="Aptos Narrow"/>
        <family val="2"/>
        <scheme val="minor"/>
      </rPr>
      <t xml:space="preserve">Introduce a calibrated grease dispensing gun with a fixed dosage setting. Eliminates operator judgment on grease volume and application pressure. </t>
    </r>
  </si>
  <si>
    <r>
      <rPr>
        <b/>
        <sz val="25"/>
        <color theme="1"/>
        <rFont val="Aptos Narrow"/>
        <family val="2"/>
        <scheme val="minor"/>
      </rPr>
      <t xml:space="preserve">Manual alignment judgment:
</t>
    </r>
    <r>
      <rPr>
        <sz val="25"/>
        <color theme="1"/>
        <rFont val="Aptos Narrow"/>
        <family val="2"/>
        <scheme val="minor"/>
      </rPr>
      <t>Operator uses manual tools and visual judgment to align wheel assembly. Duration is 18.1% below Step 14 but still the second longest step. 
Moderate CV suggests operator-to-operator variation in technique and confidence.</t>
    </r>
  </si>
  <si>
    <r>
      <rPr>
        <b/>
        <sz val="25"/>
        <color theme="1"/>
        <rFont val="Aptos Narrow"/>
        <family val="2"/>
        <scheme val="minor"/>
      </rPr>
      <t>Implement laser-guided alignment system:</t>
    </r>
    <r>
      <rPr>
        <sz val="25"/>
        <color theme="1"/>
        <rFont val="Aptos Narrow"/>
        <family val="2"/>
        <scheme val="minor"/>
      </rPr>
      <t xml:space="preserve"> 
Replace manual alignment tools with a laser alignment system. 
Reduces operator judgment variability and shortens time.
Improved accuracy will further reduce alignment-related rework downstream.</t>
    </r>
  </si>
  <si>
    <r>
      <rPr>
        <b/>
        <sz val="25"/>
        <color theme="1"/>
        <rFont val="Aptos Narrow"/>
        <family val="2"/>
        <scheme val="minor"/>
      </rPr>
      <t>Technique variability / no SOP:</t>
    </r>
    <r>
      <rPr>
        <sz val="25"/>
        <color theme="1"/>
        <rFont val="Aptos Narrow"/>
        <family val="2"/>
        <scheme val="minor"/>
      </rPr>
      <t xml:space="preserve"> 
Hub assembly involves multiple components and relies on operator experience.
No standardised procedure documented. New operators take significantly longer, which widens the range and inflates the average.</t>
    </r>
  </si>
  <si>
    <r>
      <rPr>
        <b/>
        <sz val="25"/>
        <color theme="1"/>
        <rFont val="Aptos Narrow"/>
        <family val="2"/>
        <scheme val="minor"/>
      </rPr>
      <t>Introduce SOP with video-based training:</t>
    </r>
    <r>
      <rPr>
        <sz val="25"/>
        <color theme="1"/>
        <rFont val="Aptos Narrow"/>
        <family val="2"/>
        <scheme val="minor"/>
      </rPr>
      <t xml:space="preserve"> 
Create standardised operating procedures (video + checklist) for hub assembly and for Bleed brake suystem Tasks, this can reduce the technique dependent variability and will enables faster onboarding of new operators, for the respective tasks.</t>
    </r>
  </si>
  <si>
    <r>
      <rPr>
        <b/>
        <sz val="25"/>
        <color theme="1"/>
        <rFont val="Aptos Narrow"/>
        <family val="2"/>
        <scheme val="minor"/>
      </rPr>
      <t xml:space="preserve">Manual technique / operator skill:
</t>
    </r>
    <r>
      <rPr>
        <sz val="25"/>
        <color theme="1"/>
        <rFont val="Aptos Narrow"/>
        <family val="2"/>
        <scheme val="minor"/>
      </rPr>
      <t>Time varies with operator technique and experienced operators bleed efficiently.
newer operators take longer and may require repeat passes. 
The 25s range reflects this skill gap.</t>
    </r>
  </si>
  <si>
    <t>2 Primary &amp; 3 Secondary</t>
  </si>
  <si>
    <t>Share of Cycle (Bottlenecks)</t>
  </si>
  <si>
    <t>Projected saving</t>
  </si>
  <si>
    <t>conservative estimate</t>
  </si>
  <si>
    <t>Projected Cycle time</t>
  </si>
  <si>
    <t>Post implementation</t>
  </si>
  <si>
    <t>Bottleneck Steps</t>
  </si>
  <si>
    <t>Steps 14, 6, 16, 4, 13</t>
  </si>
  <si>
    <t>99.79 seconds</t>
  </si>
  <si>
    <t>Std Dev</t>
  </si>
  <si>
    <t>Range(s)</t>
  </si>
  <si>
    <t>Avg (mm:ss)</t>
  </si>
  <si>
    <t xml:space="preserve">Rank </t>
  </si>
  <si>
    <t>Guestimated.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</si>
</sst>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.5"/>
      <color theme="1"/>
      <name val="Arial"/>
      <family val="2"/>
    </font>
    <font>
      <b/>
      <sz val="12"/>
      <color theme="0"/>
      <name val="Aptos Narrow"/>
      <family val="2"/>
      <scheme val="minor"/>
    </font>
    <font>
      <sz val="10.5"/>
      <name val="Arial"/>
      <family val="2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FFFFFF"/>
      <name val="Arial"/>
      <family val="2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555555"/>
      <name val="Courier New"/>
      <family val="3"/>
    </font>
    <font>
      <b/>
      <sz val="30"/>
      <color theme="1"/>
      <name val="Aptos Narrow"/>
      <family val="2"/>
      <scheme val="minor"/>
    </font>
    <font>
      <b/>
      <sz val="40"/>
      <color theme="1"/>
      <name val="Aptos Narrow"/>
      <family val="2"/>
      <scheme val="minor"/>
    </font>
    <font>
      <b/>
      <sz val="25"/>
      <color rgb="FFFF0000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b/>
      <sz val="25"/>
      <color rgb="FFFFFF00"/>
      <name val="Aptos Narrow"/>
      <family val="2"/>
      <scheme val="minor"/>
    </font>
    <font>
      <b/>
      <sz val="5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98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C0000"/>
        <bgColor rgb="FFC00000"/>
      </patternFill>
    </fill>
    <fill>
      <patternFill patternType="solid">
        <fgColor rgb="FFFF3300"/>
        <bgColor rgb="FFFFE0B2"/>
      </patternFill>
    </fill>
    <fill>
      <patternFill patternType="solid">
        <fgColor rgb="FFFC6804"/>
        <bgColor rgb="FFFFE0B2"/>
      </patternFill>
    </fill>
    <fill>
      <patternFill patternType="solid">
        <fgColor rgb="FFFFFF00"/>
        <bgColor rgb="FFFFE0B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1C1F2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/>
      <diagonal/>
    </border>
    <border>
      <left/>
      <right/>
      <top style="thin">
        <color theme="6" tint="-0.249977111117893"/>
      </top>
      <bottom/>
      <diagonal/>
    </border>
    <border>
      <left/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/>
      <top/>
      <bottom/>
      <diagonal/>
    </border>
    <border>
      <left/>
      <right style="thin">
        <color theme="6" tint="-0.249977111117893"/>
      </right>
      <top/>
      <bottom/>
      <diagonal/>
    </border>
    <border>
      <left style="thin">
        <color theme="6" tint="-0.249977111117893"/>
      </left>
      <right/>
      <top/>
      <bottom style="thin">
        <color theme="6" tint="-0.249977111117893"/>
      </bottom>
      <diagonal/>
    </border>
    <border>
      <left/>
      <right/>
      <top/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0" fontId="2" fillId="0" borderId="1" xfId="0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0" fontId="0" fillId="0" borderId="1" xfId="0" applyNumberFormat="1" applyBorder="1"/>
    <xf numFmtId="0" fontId="7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21" fontId="8" fillId="4" borderId="0" xfId="0" applyNumberFormat="1" applyFont="1" applyFill="1" applyAlignment="1">
      <alignment horizontal="center"/>
    </xf>
    <xf numFmtId="0" fontId="5" fillId="0" borderId="0" xfId="0" applyFont="1"/>
    <xf numFmtId="0" fontId="9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1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6" fillId="0" borderId="0" xfId="0" applyFont="1"/>
    <xf numFmtId="0" fontId="17" fillId="0" borderId="0" xfId="0" applyFont="1" applyAlignment="1">
      <alignment vertical="center" wrapText="1" indent="1"/>
    </xf>
    <xf numFmtId="0" fontId="16" fillId="0" borderId="14" xfId="0" applyFont="1" applyBorder="1" applyAlignment="1">
      <alignment vertical="top" wrapText="1" inden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13" borderId="0" xfId="0" applyFont="1" applyFill="1" applyAlignment="1">
      <alignment vertical="center"/>
    </xf>
    <xf numFmtId="0" fontId="21" fillId="14" borderId="0" xfId="0" applyFont="1" applyFill="1" applyAlignment="1">
      <alignment horizontal="center" vertical="center"/>
    </xf>
    <xf numFmtId="10" fontId="21" fillId="14" borderId="0" xfId="0" applyNumberFormat="1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21" fillId="9" borderId="0" xfId="0" applyFont="1" applyFill="1" applyAlignment="1">
      <alignment vertical="center"/>
    </xf>
    <xf numFmtId="0" fontId="21" fillId="11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16" borderId="17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0" fontId="20" fillId="13" borderId="20" xfId="0" applyFont="1" applyFill="1" applyBorder="1" applyAlignment="1">
      <alignment vertical="center"/>
    </xf>
    <xf numFmtId="0" fontId="21" fillId="13" borderId="21" xfId="0" applyFont="1" applyFill="1" applyBorder="1" applyAlignment="1">
      <alignment vertical="center"/>
    </xf>
    <xf numFmtId="0" fontId="21" fillId="14" borderId="21" xfId="0" applyFont="1" applyFill="1" applyBorder="1" applyAlignment="1">
      <alignment horizontal="center" vertical="center"/>
    </xf>
    <xf numFmtId="10" fontId="21" fillId="14" borderId="21" xfId="0" applyNumberFormat="1" applyFont="1" applyFill="1" applyBorder="1" applyAlignment="1">
      <alignment horizontal="center" vertical="center"/>
    </xf>
    <xf numFmtId="0" fontId="21" fillId="10" borderId="21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 vertical="center" wrapText="1"/>
    </xf>
    <xf numFmtId="0" fontId="22" fillId="13" borderId="21" xfId="0" applyFont="1" applyFill="1" applyBorder="1" applyAlignment="1">
      <alignment horizontal="center" vertical="center"/>
    </xf>
    <xf numFmtId="0" fontId="15" fillId="13" borderId="22" xfId="0" applyFont="1" applyFill="1" applyBorder="1" applyAlignment="1">
      <alignment vertical="center" wrapText="1"/>
    </xf>
    <xf numFmtId="0" fontId="20" fillId="9" borderId="23" xfId="0" applyFont="1" applyFill="1" applyBorder="1" applyAlignment="1">
      <alignment vertical="center"/>
    </xf>
    <xf numFmtId="0" fontId="15" fillId="9" borderId="24" xfId="0" applyFont="1" applyFill="1" applyBorder="1" applyAlignment="1">
      <alignment vertical="center" wrapText="1"/>
    </xf>
    <xf numFmtId="0" fontId="23" fillId="13" borderId="23" xfId="0" applyFont="1" applyFill="1" applyBorder="1" applyAlignment="1">
      <alignment vertical="center"/>
    </xf>
    <xf numFmtId="0" fontId="15" fillId="13" borderId="24" xfId="0" applyFont="1" applyFill="1" applyBorder="1" applyAlignment="1">
      <alignment horizontal="left" vertical="center" wrapText="1"/>
    </xf>
    <xf numFmtId="0" fontId="23" fillId="9" borderId="23" xfId="0" applyFont="1" applyFill="1" applyBorder="1" applyAlignment="1">
      <alignment vertical="center"/>
    </xf>
    <xf numFmtId="0" fontId="23" fillId="13" borderId="25" xfId="0" applyFont="1" applyFill="1" applyBorder="1" applyAlignment="1">
      <alignment vertical="center"/>
    </xf>
    <xf numFmtId="0" fontId="21" fillId="13" borderId="26" xfId="0" applyFont="1" applyFill="1" applyBorder="1" applyAlignment="1">
      <alignment vertical="center"/>
    </xf>
    <xf numFmtId="0" fontId="21" fillId="14" borderId="26" xfId="0" applyFont="1" applyFill="1" applyBorder="1" applyAlignment="1">
      <alignment horizontal="center" vertical="center"/>
    </xf>
    <xf numFmtId="10" fontId="21" fillId="14" borderId="26" xfId="0" applyNumberFormat="1" applyFont="1" applyFill="1" applyBorder="1" applyAlignment="1">
      <alignment horizontal="center" vertical="center"/>
    </xf>
    <xf numFmtId="0" fontId="22" fillId="13" borderId="26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vertical="center" wrapText="1"/>
    </xf>
    <xf numFmtId="21" fontId="19" fillId="16" borderId="1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/>
    </xf>
    <xf numFmtId="45" fontId="0" fillId="0" borderId="0" xfId="0" applyNumberFormat="1"/>
    <xf numFmtId="0" fontId="13" fillId="7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2" fillId="0" borderId="0" xfId="0" applyFont="1"/>
    <xf numFmtId="0" fontId="14" fillId="5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1" fillId="0" borderId="10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left" vertical="center" wrapText="1"/>
    </xf>
    <xf numFmtId="0" fontId="18" fillId="12" borderId="16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left" vertical="center" wrapText="1"/>
    </xf>
    <xf numFmtId="0" fontId="22" fillId="9" borderId="26" xfId="0" applyFont="1" applyFill="1" applyBorder="1" applyAlignment="1">
      <alignment horizontal="left" vertical="center" wrapText="1"/>
    </xf>
    <xf numFmtId="0" fontId="22" fillId="13" borderId="26" xfId="0" applyFont="1" applyFill="1" applyBorder="1" applyAlignment="1">
      <alignment horizontal="left" vertical="center" wrapText="1"/>
    </xf>
    <xf numFmtId="0" fontId="22" fillId="13" borderId="21" xfId="0" applyFont="1" applyFill="1" applyBorder="1" applyAlignment="1">
      <alignment horizontal="left" vertical="center"/>
    </xf>
    <xf numFmtId="0" fontId="22" fillId="9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left" vertical="center" wrapText="1"/>
    </xf>
    <xf numFmtId="0" fontId="22" fillId="13" borderId="0" xfId="0" applyFont="1" applyFill="1" applyAlignment="1">
      <alignment horizontal="left" vertical="center"/>
    </xf>
    <xf numFmtId="0" fontId="18" fillId="12" borderId="15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11" borderId="26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24" fillId="15" borderId="28" xfId="0" applyFont="1" applyFill="1" applyBorder="1" applyAlignment="1">
      <alignment horizontal="center" vertical="center"/>
    </xf>
    <xf numFmtId="0" fontId="19" fillId="15" borderId="29" xfId="0" applyFont="1" applyFill="1" applyBorder="1" applyAlignment="1">
      <alignment horizontal="center" vertical="center"/>
    </xf>
    <xf numFmtId="0" fontId="19" fillId="15" borderId="30" xfId="0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18" fillId="16" borderId="22" xfId="0" applyFont="1" applyFill="1" applyBorder="1" applyAlignment="1">
      <alignment horizontal="center" vertical="center"/>
    </xf>
    <xf numFmtId="0" fontId="19" fillId="16" borderId="23" xfId="0" applyFont="1" applyFill="1" applyBorder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19" fillId="16" borderId="24" xfId="0" applyFont="1" applyFill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26" xfId="0" applyFont="1" applyFill="1" applyBorder="1" applyAlignment="1">
      <alignment horizontal="center" vertical="center"/>
    </xf>
    <xf numFmtId="0" fontId="18" fillId="16" borderId="27" xfId="0" applyFont="1" applyFill="1" applyBorder="1" applyAlignment="1">
      <alignment horizontal="center" vertical="center"/>
    </xf>
    <xf numFmtId="21" fontId="19" fillId="16" borderId="23" xfId="0" applyNumberFormat="1" applyFont="1" applyFill="1" applyBorder="1" applyAlignment="1">
      <alignment horizontal="center" vertical="center"/>
    </xf>
    <xf numFmtId="21" fontId="19" fillId="16" borderId="0" xfId="0" applyNumberFormat="1" applyFont="1" applyFill="1" applyAlignment="1">
      <alignment horizontal="center" vertical="center"/>
    </xf>
    <xf numFmtId="21" fontId="19" fillId="16" borderId="24" xfId="0" applyNumberFormat="1" applyFont="1" applyFill="1" applyBorder="1" applyAlignment="1">
      <alignment horizontal="center" vertical="center"/>
    </xf>
    <xf numFmtId="10" fontId="19" fillId="16" borderId="23" xfId="0" applyNumberFormat="1" applyFont="1" applyFill="1" applyBorder="1" applyAlignment="1">
      <alignment horizontal="center" vertical="center"/>
    </xf>
    <xf numFmtId="45" fontId="9" fillId="0" borderId="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7" fillId="17" borderId="13" xfId="0" applyFont="1" applyFill="1" applyBorder="1" applyAlignment="1">
      <alignment horizontal="center" vertical="center"/>
    </xf>
    <xf numFmtId="0" fontId="7" fillId="17" borderId="15" xfId="0" applyFont="1" applyFill="1" applyBorder="1" applyAlignment="1">
      <alignment horizontal="center" vertical="center"/>
    </xf>
    <xf numFmtId="0" fontId="7" fillId="17" borderId="1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45" fontId="9" fillId="0" borderId="6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</cellXfs>
  <cellStyles count="1">
    <cellStyle name="Normal" xfId="0" builtinId="0"/>
  </cellStyles>
  <dxfs count="29">
    <dxf>
      <fill>
        <patternFill>
          <bgColor rgb="FFCC0000"/>
        </patternFill>
      </fill>
    </dxf>
    <dxf>
      <fill>
        <patternFill patternType="solid">
          <fgColor auto="1"/>
          <bgColor rgb="FFCC0000"/>
        </patternFill>
      </fill>
    </dxf>
    <dxf>
      <fill>
        <patternFill patternType="solid">
          <bgColor rgb="FFFF3300"/>
        </patternFill>
      </fill>
    </dxf>
    <dxf>
      <fill>
        <patternFill>
          <bgColor rgb="FFFC680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0000"/>
        </patternFill>
      </fill>
    </dxf>
    <dxf>
      <fill>
        <patternFill patternType="solid">
          <fgColor auto="1"/>
          <bgColor rgb="FFCC0000"/>
        </patternFill>
      </fill>
    </dxf>
    <dxf>
      <fill>
        <patternFill patternType="solid">
          <bgColor rgb="FFFF3300"/>
        </patternFill>
      </fill>
    </dxf>
    <dxf>
      <fill>
        <patternFill>
          <bgColor rgb="FFFC680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8" formatCode="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>
          <bgColor rgb="FFCC0000"/>
        </patternFill>
      </fill>
    </dxf>
    <dxf>
      <fill>
        <patternFill patternType="solid">
          <fgColor auto="1"/>
          <bgColor rgb="FFCC0000"/>
        </patternFill>
      </fill>
    </dxf>
    <dxf>
      <fill>
        <patternFill patternType="solid">
          <bgColor rgb="FFFF3300"/>
        </patternFill>
      </fill>
    </dxf>
    <dxf>
      <fill>
        <patternFill>
          <bgColor rgb="FFFC680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00"/>
      <color rgb="FFFF0000"/>
      <color rgb="FFCC0000"/>
      <color rgb="FFFC6804"/>
      <color rgb="FFFF3300"/>
      <color rgb="FF0098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378179</xdr:colOff>
      <xdr:row>0</xdr:row>
      <xdr:rowOff>73025</xdr:rowOff>
    </xdr:from>
    <xdr:to>
      <xdr:col>14</xdr:col>
      <xdr:colOff>762000</xdr:colOff>
      <xdr:row>6</xdr:row>
      <xdr:rowOff>126999</xdr:rowOff>
    </xdr:to>
    <xdr:pic>
      <xdr:nvPicPr>
        <xdr:cNvPr id="2" name="Picture 1" descr="Siemens Logo and symbol, meaning, history, PNG, brand">
          <a:extLst>
            <a:ext uri="{FF2B5EF4-FFF2-40B4-BE49-F238E27FC236}">
              <a16:creationId xmlns:a16="http://schemas.microsoft.com/office/drawing/2014/main" id="{C25887C7-AF5F-36F1-FFC1-A6D3B55CC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4279" y="73025"/>
          <a:ext cx="2263421" cy="127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22008B-B788-443D-84C5-DA8A2528F84F}" name="Table5" displayName="Table5" ref="A1:H21" totalsRowShown="0" headerRowDxfId="12" dataDxfId="13" tableBorderDxfId="22">
  <autoFilter ref="A1:H21" xr:uid="{B822008B-B788-443D-84C5-DA8A2528F84F}"/>
  <tableColumns count="8">
    <tableColumn id="1" xr3:uid="{0992FB28-6901-4F1B-92E1-9891D0949E8D}" name="Step No." dataDxfId="21"/>
    <tableColumn id="2" xr3:uid="{F2F3D328-27CB-4309-B386-F87949ABC9B5}" name="Element Description" dataDxfId="20"/>
    <tableColumn id="5" xr3:uid="{DF29AF8F-99B0-430A-BF0F-1C4876426625}" name="Avg (sec)" dataDxfId="19"/>
    <tableColumn id="6" xr3:uid="{2D2B9C5F-A854-4208-AFA5-741EEB252DCF}" name="Avg (mm:ss)" dataDxfId="18"/>
    <tableColumn id="7" xr3:uid="{BEFD6CB4-B20D-44A0-8180-219CE1E07C87}" name="Std Dev" dataDxfId="17"/>
    <tableColumn id="8" xr3:uid="{6441F2EF-37B4-4CD0-90C9-1D07C31D4076}" name="Range(s)" dataDxfId="16"/>
    <tableColumn id="9" xr3:uid="{2FAA7BD8-7965-4A32-B9BF-F151FF7BA0B5}" name="CV (%)" dataDxfId="15"/>
    <tableColumn id="10" xr3:uid="{3938CF19-209C-4398-BD58-A75334E29C45}" name="Rank " dataDxfId="14">
      <calculatedColumnFormula>Analysis!U3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CD8A-EA57-5743-B181-873CBBB8CEB8}">
  <dimension ref="A3:T28"/>
  <sheetViews>
    <sheetView zoomScale="51" workbookViewId="0">
      <selection activeCell="P18" sqref="P18:P21"/>
    </sheetView>
  </sheetViews>
  <sheetFormatPr defaultColWidth="11.19921875" defaultRowHeight="15.6" x14ac:dyDescent="0.3"/>
  <cols>
    <col min="6" max="14" width="12.296875" bestFit="1" customWidth="1"/>
    <col min="15" max="15" width="13.296875" bestFit="1" customWidth="1"/>
    <col min="16" max="17" width="13.296875" customWidth="1"/>
  </cols>
  <sheetData>
    <row r="3" spans="1:20" x14ac:dyDescent="0.3">
      <c r="B3" s="4" t="s">
        <v>0</v>
      </c>
      <c r="C3" s="91" t="s">
        <v>7</v>
      </c>
      <c r="D3" s="91"/>
      <c r="E3" s="91"/>
      <c r="G3" s="4" t="s">
        <v>3</v>
      </c>
      <c r="H3" s="91" t="s">
        <v>10</v>
      </c>
      <c r="I3" s="91"/>
      <c r="J3" s="91"/>
      <c r="M3" s="87"/>
      <c r="N3" s="87"/>
      <c r="O3" s="87"/>
      <c r="P3" s="1"/>
      <c r="Q3" s="1"/>
    </row>
    <row r="4" spans="1:20" x14ac:dyDescent="0.3">
      <c r="B4" s="4" t="s">
        <v>1</v>
      </c>
      <c r="C4" s="91">
        <v>1</v>
      </c>
      <c r="D4" s="91"/>
      <c r="E4" s="91"/>
      <c r="G4" s="4" t="s">
        <v>4</v>
      </c>
      <c r="H4" s="91" t="s">
        <v>5</v>
      </c>
      <c r="I4" s="91"/>
      <c r="J4" s="91"/>
      <c r="M4" s="87"/>
      <c r="N4" s="87"/>
      <c r="O4" s="87"/>
      <c r="P4" s="1"/>
      <c r="Q4" s="1"/>
    </row>
    <row r="5" spans="1:20" x14ac:dyDescent="0.3">
      <c r="B5" s="4" t="s">
        <v>2</v>
      </c>
      <c r="C5" s="91" t="s">
        <v>8</v>
      </c>
      <c r="D5" s="91"/>
      <c r="E5" s="91"/>
      <c r="G5" s="4" t="s">
        <v>9</v>
      </c>
      <c r="H5" s="91">
        <v>1</v>
      </c>
      <c r="I5" s="91"/>
      <c r="J5" s="91"/>
      <c r="M5" s="87"/>
      <c r="N5" s="87"/>
      <c r="O5" s="87"/>
      <c r="P5" s="1"/>
      <c r="Q5" s="1"/>
    </row>
    <row r="7" spans="1:20" x14ac:dyDescent="0.3">
      <c r="A7" s="86" t="s">
        <v>11</v>
      </c>
      <c r="B7" s="86" t="s">
        <v>6</v>
      </c>
      <c r="C7" s="86"/>
      <c r="D7" s="86"/>
      <c r="E7" s="86"/>
      <c r="F7" s="93" t="s">
        <v>12</v>
      </c>
      <c r="G7" s="93"/>
      <c r="H7" s="93"/>
      <c r="I7" s="93"/>
      <c r="J7" s="93"/>
      <c r="K7" s="93"/>
      <c r="L7" s="93"/>
      <c r="M7" s="93"/>
      <c r="N7" s="93"/>
      <c r="O7" s="93"/>
      <c r="P7" s="84" t="s">
        <v>34</v>
      </c>
      <c r="Q7" s="84" t="s">
        <v>35</v>
      </c>
      <c r="R7" s="86" t="s">
        <v>33</v>
      </c>
      <c r="S7" s="86"/>
      <c r="T7" s="86"/>
    </row>
    <row r="8" spans="1:20" x14ac:dyDescent="0.3">
      <c r="A8" s="86"/>
      <c r="B8" s="86"/>
      <c r="C8" s="86"/>
      <c r="D8" s="86"/>
      <c r="E8" s="86"/>
      <c r="F8" s="5">
        <v>1</v>
      </c>
      <c r="G8" s="5">
        <v>2</v>
      </c>
      <c r="H8" s="5">
        <v>3</v>
      </c>
      <c r="I8" s="5">
        <v>4</v>
      </c>
      <c r="J8" s="5">
        <v>5</v>
      </c>
      <c r="K8" s="5">
        <v>6</v>
      </c>
      <c r="L8" s="5">
        <v>7</v>
      </c>
      <c r="M8" s="5">
        <v>8</v>
      </c>
      <c r="N8" s="5">
        <v>9</v>
      </c>
      <c r="O8" s="5">
        <v>10</v>
      </c>
      <c r="P8" s="85"/>
      <c r="Q8" s="85"/>
      <c r="R8" s="86"/>
      <c r="S8" s="86"/>
      <c r="T8" s="86"/>
    </row>
    <row r="9" spans="1:20" ht="37.049999999999997" customHeight="1" x14ac:dyDescent="0.3">
      <c r="A9" s="2">
        <v>1</v>
      </c>
      <c r="B9" s="88" t="s">
        <v>13</v>
      </c>
      <c r="C9" s="89"/>
      <c r="D9" s="89"/>
      <c r="E9" s="90"/>
      <c r="F9" s="3">
        <v>0.10416666666666667</v>
      </c>
      <c r="G9" s="3">
        <v>0.10208333333333333</v>
      </c>
      <c r="H9" s="3">
        <v>9.7916666666666666E-2</v>
      </c>
      <c r="I9" s="3">
        <v>0.10625</v>
      </c>
      <c r="J9" s="3">
        <v>0.10138888888888889</v>
      </c>
      <c r="K9" s="3">
        <v>9.4444444444444442E-2</v>
      </c>
      <c r="L9" s="3">
        <v>0.10138888888888889</v>
      </c>
      <c r="M9" s="3">
        <v>0.10833333333333334</v>
      </c>
      <c r="N9" s="3">
        <v>0.10486111111111111</v>
      </c>
      <c r="O9" s="3">
        <v>0.10347222222222222</v>
      </c>
      <c r="P9" s="6">
        <f>AVERAGE(F9:O9)</f>
        <v>0.10243055555555554</v>
      </c>
      <c r="Q9" s="2"/>
      <c r="R9" s="83" t="s">
        <v>36</v>
      </c>
      <c r="S9" s="83"/>
      <c r="T9" s="83"/>
    </row>
    <row r="10" spans="1:20" ht="37.049999999999997" customHeight="1" x14ac:dyDescent="0.3">
      <c r="A10" s="2">
        <v>2</v>
      </c>
      <c r="B10" s="88" t="s">
        <v>14</v>
      </c>
      <c r="C10" s="89"/>
      <c r="D10" s="89"/>
      <c r="E10" s="90"/>
      <c r="F10" s="3">
        <v>7.2916666666666671E-2</v>
      </c>
      <c r="G10" s="3">
        <v>7.2916666666666671E-2</v>
      </c>
      <c r="H10" s="3">
        <v>6.7361111111111108E-2</v>
      </c>
      <c r="I10" s="3">
        <v>6.458333333333334E-2</v>
      </c>
      <c r="J10" s="3">
        <v>7.4999999999999997E-2</v>
      </c>
      <c r="K10" s="3">
        <v>6.3194444444444442E-2</v>
      </c>
      <c r="L10" s="3">
        <v>6.5277777777777782E-2</v>
      </c>
      <c r="M10" s="3">
        <v>7.3611111111111113E-2</v>
      </c>
      <c r="N10" s="3">
        <v>6.7361111111111108E-2</v>
      </c>
      <c r="O10" s="3">
        <v>6.458333333333334E-2</v>
      </c>
      <c r="P10" s="6">
        <f t="shared" ref="P10:P28" si="0">AVERAGE(F10:O10)</f>
        <v>6.868055555555555E-2</v>
      </c>
      <c r="Q10" s="2"/>
      <c r="R10" s="83" t="s">
        <v>37</v>
      </c>
      <c r="S10" s="83"/>
      <c r="T10" s="83"/>
    </row>
    <row r="11" spans="1:20" ht="37.049999999999997" customHeight="1" x14ac:dyDescent="0.3">
      <c r="A11" s="2">
        <v>3</v>
      </c>
      <c r="B11" s="88" t="s">
        <v>15</v>
      </c>
      <c r="C11" s="89"/>
      <c r="D11" s="89"/>
      <c r="E11" s="90"/>
      <c r="F11" s="3">
        <v>0.125</v>
      </c>
      <c r="G11" s="3">
        <v>0.12916666666666668</v>
      </c>
      <c r="H11" s="3">
        <v>0.13055555555555556</v>
      </c>
      <c r="I11" s="3">
        <v>0.13125000000000001</v>
      </c>
      <c r="J11" s="3">
        <v>0.13055555555555556</v>
      </c>
      <c r="K11" s="3">
        <v>0.11944444444444445</v>
      </c>
      <c r="L11" s="3">
        <v>0.11874999999999999</v>
      </c>
      <c r="M11" s="3">
        <v>0.12638888888888888</v>
      </c>
      <c r="N11" s="3">
        <v>0.12916666666666668</v>
      </c>
      <c r="O11" s="3">
        <v>0.12847222222222221</v>
      </c>
      <c r="P11" s="6">
        <f t="shared" si="0"/>
        <v>0.12687499999999999</v>
      </c>
      <c r="Q11" s="2"/>
      <c r="R11" s="83" t="s">
        <v>38</v>
      </c>
      <c r="S11" s="83"/>
      <c r="T11" s="83"/>
    </row>
    <row r="12" spans="1:20" ht="37.049999999999997" customHeight="1" x14ac:dyDescent="0.3">
      <c r="A12" s="2">
        <v>4</v>
      </c>
      <c r="B12" s="88" t="s">
        <v>16</v>
      </c>
      <c r="C12" s="89"/>
      <c r="D12" s="89"/>
      <c r="E12" s="90"/>
      <c r="F12" s="3">
        <v>0.18055555555555555</v>
      </c>
      <c r="G12" s="3">
        <v>0.1701388888888889</v>
      </c>
      <c r="H12" s="3">
        <v>0.17986111111111111</v>
      </c>
      <c r="I12" s="3">
        <v>0.18194444444444444</v>
      </c>
      <c r="J12" s="3">
        <v>0.18958333333333333</v>
      </c>
      <c r="K12" s="3">
        <v>0.1763888888888889</v>
      </c>
      <c r="L12" s="3">
        <v>0.17291666666666666</v>
      </c>
      <c r="M12" s="3">
        <v>0.1736111111111111</v>
      </c>
      <c r="N12" s="3">
        <v>0.1763888888888889</v>
      </c>
      <c r="O12" s="3">
        <v>0.18194444444444444</v>
      </c>
      <c r="P12" s="6">
        <f t="shared" si="0"/>
        <v>0.17833333333333334</v>
      </c>
      <c r="Q12" s="2"/>
      <c r="R12" s="83" t="s">
        <v>39</v>
      </c>
      <c r="S12" s="83"/>
      <c r="T12" s="83"/>
    </row>
    <row r="13" spans="1:20" ht="37.049999999999997" customHeight="1" x14ac:dyDescent="0.3">
      <c r="A13" s="2">
        <v>5</v>
      </c>
      <c r="B13" s="88" t="s">
        <v>17</v>
      </c>
      <c r="C13" s="89"/>
      <c r="D13" s="89"/>
      <c r="E13" s="90"/>
      <c r="F13" s="3">
        <v>0.11805555555555555</v>
      </c>
      <c r="G13" s="3">
        <v>0.10972222222222222</v>
      </c>
      <c r="H13" s="3">
        <v>0.12430555555555556</v>
      </c>
      <c r="I13" s="3">
        <v>0.12083333333333333</v>
      </c>
      <c r="J13" s="3">
        <v>0.10902777777777778</v>
      </c>
      <c r="K13" s="3">
        <v>0.125</v>
      </c>
      <c r="L13" s="3">
        <v>0.11805555555555555</v>
      </c>
      <c r="M13" s="3">
        <v>0.11388888888888889</v>
      </c>
      <c r="N13" s="3">
        <v>0.1076388888888889</v>
      </c>
      <c r="O13" s="3">
        <v>0.12013888888888889</v>
      </c>
      <c r="P13" s="6">
        <f t="shared" si="0"/>
        <v>0.11666666666666665</v>
      </c>
      <c r="Q13" s="2"/>
      <c r="R13" s="83" t="s">
        <v>40</v>
      </c>
      <c r="S13" s="83"/>
      <c r="T13" s="83"/>
    </row>
    <row r="14" spans="1:20" ht="37.049999999999997" customHeight="1" x14ac:dyDescent="0.3">
      <c r="A14" s="2">
        <v>6</v>
      </c>
      <c r="B14" s="88" t="s">
        <v>18</v>
      </c>
      <c r="C14" s="89"/>
      <c r="D14" s="89"/>
      <c r="E14" s="90"/>
      <c r="F14" s="3">
        <v>6.25E-2</v>
      </c>
      <c r="G14" s="3">
        <v>7.0833333333333331E-2</v>
      </c>
      <c r="H14" s="3">
        <v>6.3888888888888884E-2</v>
      </c>
      <c r="I14" s="3">
        <v>7.2222222222222215E-2</v>
      </c>
      <c r="J14" s="3">
        <v>5.2083333333333336E-2</v>
      </c>
      <c r="K14" s="3">
        <v>5.4166666666666669E-2</v>
      </c>
      <c r="L14" s="3">
        <v>6.5972222222222224E-2</v>
      </c>
      <c r="M14" s="3">
        <v>5.4166666666666669E-2</v>
      </c>
      <c r="N14" s="3">
        <v>5.9027777777777776E-2</v>
      </c>
      <c r="O14" s="3">
        <v>7.0833333333333331E-2</v>
      </c>
      <c r="P14" s="6">
        <f t="shared" si="0"/>
        <v>6.2569444444444441E-2</v>
      </c>
      <c r="Q14" s="2"/>
      <c r="R14" s="83" t="s">
        <v>41</v>
      </c>
      <c r="S14" s="83"/>
      <c r="T14" s="83"/>
    </row>
    <row r="15" spans="1:20" ht="37.049999999999997" customHeight="1" x14ac:dyDescent="0.3">
      <c r="A15" s="2">
        <v>7</v>
      </c>
      <c r="B15" s="88" t="s">
        <v>19</v>
      </c>
      <c r="C15" s="89"/>
      <c r="D15" s="89"/>
      <c r="E15" s="90"/>
      <c r="F15" s="3">
        <v>0.13541666666666666</v>
      </c>
      <c r="G15" s="3">
        <v>0.12708333333333333</v>
      </c>
      <c r="H15" s="3">
        <v>0.12847222222222221</v>
      </c>
      <c r="I15" s="3">
        <v>0.13819444444444445</v>
      </c>
      <c r="J15" s="3">
        <v>0.125</v>
      </c>
      <c r="K15" s="3">
        <v>0.12916666666666668</v>
      </c>
      <c r="L15" s="3">
        <v>0.12708333333333333</v>
      </c>
      <c r="M15" s="3">
        <v>0.125</v>
      </c>
      <c r="N15" s="3">
        <v>0.13750000000000001</v>
      </c>
      <c r="O15" s="3">
        <v>0.13472222222222222</v>
      </c>
      <c r="P15" s="6">
        <f t="shared" si="0"/>
        <v>0.13076388888888885</v>
      </c>
      <c r="Q15" s="2"/>
      <c r="R15" s="83" t="s">
        <v>42</v>
      </c>
      <c r="S15" s="83"/>
      <c r="T15" s="83"/>
    </row>
    <row r="16" spans="1:20" ht="37.049999999999997" customHeight="1" x14ac:dyDescent="0.3">
      <c r="A16" s="2">
        <v>8</v>
      </c>
      <c r="B16" s="88" t="s">
        <v>20</v>
      </c>
      <c r="C16" s="89"/>
      <c r="D16" s="89"/>
      <c r="E16" s="90"/>
      <c r="F16" s="3">
        <v>0.1111111111111111</v>
      </c>
      <c r="G16" s="3">
        <v>0.10555555555555556</v>
      </c>
      <c r="H16" s="3">
        <v>0.11805555555555555</v>
      </c>
      <c r="I16" s="3">
        <v>0.11388888888888889</v>
      </c>
      <c r="J16" s="3">
        <v>0.10347222222222222</v>
      </c>
      <c r="K16" s="3">
        <v>0.11666666666666667</v>
      </c>
      <c r="L16" s="3">
        <v>0.10902777777777778</v>
      </c>
      <c r="M16" s="3">
        <v>0.10416666666666667</v>
      </c>
      <c r="N16" s="3">
        <v>0.10833333333333334</v>
      </c>
      <c r="O16" s="3">
        <v>0.10694444444444444</v>
      </c>
      <c r="P16" s="6">
        <f t="shared" si="0"/>
        <v>0.10972222222222223</v>
      </c>
      <c r="Q16" s="2"/>
      <c r="R16" s="83" t="s">
        <v>43</v>
      </c>
      <c r="S16" s="83"/>
      <c r="T16" s="83"/>
    </row>
    <row r="17" spans="1:20" ht="37.049999999999997" customHeight="1" x14ac:dyDescent="0.3">
      <c r="A17" s="2">
        <v>9</v>
      </c>
      <c r="B17" s="88" t="s">
        <v>21</v>
      </c>
      <c r="C17" s="89"/>
      <c r="D17" s="89"/>
      <c r="E17" s="90"/>
      <c r="F17" s="3">
        <v>0.12152777777777778</v>
      </c>
      <c r="G17" s="3">
        <v>0.11736111111111111</v>
      </c>
      <c r="H17" s="3">
        <v>0.12013888888888889</v>
      </c>
      <c r="I17" s="3">
        <v>0.12083333333333333</v>
      </c>
      <c r="J17" s="3">
        <v>0.12569444444444444</v>
      </c>
      <c r="K17" s="3">
        <v>0.11874999999999999</v>
      </c>
      <c r="L17" s="3">
        <v>0.11388888888888889</v>
      </c>
      <c r="M17" s="3">
        <v>0.13194444444444445</v>
      </c>
      <c r="N17" s="3">
        <v>0.12916666666666668</v>
      </c>
      <c r="O17" s="3">
        <v>0.12916666666666668</v>
      </c>
      <c r="P17" s="6">
        <f t="shared" si="0"/>
        <v>0.12284722222222225</v>
      </c>
      <c r="Q17" s="2"/>
      <c r="R17" s="83" t="s">
        <v>44</v>
      </c>
      <c r="S17" s="83"/>
      <c r="T17" s="83"/>
    </row>
    <row r="18" spans="1:20" ht="37.049999999999997" customHeight="1" x14ac:dyDescent="0.3">
      <c r="A18" s="2">
        <v>10</v>
      </c>
      <c r="B18" s="88" t="s">
        <v>22</v>
      </c>
      <c r="C18" s="89"/>
      <c r="D18" s="89"/>
      <c r="E18" s="90"/>
      <c r="F18" s="3">
        <v>0.1701388888888889</v>
      </c>
      <c r="G18" s="3">
        <v>0.17291666666666666</v>
      </c>
      <c r="H18" s="3">
        <v>0.16527777777777777</v>
      </c>
      <c r="I18" s="3">
        <v>0.16458333333333333</v>
      </c>
      <c r="J18" s="3">
        <v>0.16319444444444445</v>
      </c>
      <c r="K18" s="3">
        <v>0.16944444444444445</v>
      </c>
      <c r="L18" s="3">
        <v>0.1736111111111111</v>
      </c>
      <c r="M18" s="3">
        <v>0.15972222222222221</v>
      </c>
      <c r="N18" s="3">
        <v>0.17569444444444443</v>
      </c>
      <c r="O18" s="3">
        <v>0.16041666666666668</v>
      </c>
      <c r="P18" s="6">
        <f t="shared" si="0"/>
        <v>0.16750000000000001</v>
      </c>
      <c r="Q18" s="2"/>
      <c r="R18" s="83" t="s">
        <v>45</v>
      </c>
      <c r="S18" s="83"/>
      <c r="T18" s="83"/>
    </row>
    <row r="19" spans="1:20" ht="37.049999999999997" customHeight="1" x14ac:dyDescent="0.3">
      <c r="A19" s="2">
        <v>11</v>
      </c>
      <c r="B19" s="88" t="s">
        <v>23</v>
      </c>
      <c r="C19" s="89"/>
      <c r="D19" s="89"/>
      <c r="E19" s="90"/>
      <c r="F19" s="3">
        <v>0.15972222222222221</v>
      </c>
      <c r="G19" s="3">
        <v>0.16388888888888889</v>
      </c>
      <c r="H19" s="3">
        <v>0.15555555555555556</v>
      </c>
      <c r="I19" s="3">
        <v>0.14930555555555555</v>
      </c>
      <c r="J19" s="3">
        <v>0.15347222222222223</v>
      </c>
      <c r="K19" s="3">
        <v>0.16180555555555556</v>
      </c>
      <c r="L19" s="3">
        <v>0.15486111111111112</v>
      </c>
      <c r="M19" s="3">
        <v>0.16111111111111112</v>
      </c>
      <c r="N19" s="3">
        <v>0.16805555555555557</v>
      </c>
      <c r="O19" s="3">
        <v>0.15208333333333332</v>
      </c>
      <c r="P19" s="6">
        <f t="shared" si="0"/>
        <v>0.1579861111111111</v>
      </c>
      <c r="Q19" s="2"/>
      <c r="R19" s="83" t="s">
        <v>46</v>
      </c>
      <c r="S19" s="83"/>
      <c r="T19" s="83"/>
    </row>
    <row r="20" spans="1:20" ht="37.049999999999997" customHeight="1" x14ac:dyDescent="0.3">
      <c r="A20" s="2">
        <v>12</v>
      </c>
      <c r="B20" s="88" t="s">
        <v>24</v>
      </c>
      <c r="C20" s="89"/>
      <c r="D20" s="89"/>
      <c r="E20" s="90"/>
      <c r="F20" s="3">
        <v>0.14930555555555555</v>
      </c>
      <c r="G20" s="3">
        <v>0.15138888888888888</v>
      </c>
      <c r="H20" s="3">
        <v>0.15277777777777779</v>
      </c>
      <c r="I20" s="3">
        <v>0.13958333333333334</v>
      </c>
      <c r="J20" s="3">
        <v>0.14444444444444443</v>
      </c>
      <c r="K20" s="3">
        <v>0.15763888888888888</v>
      </c>
      <c r="L20" s="3">
        <v>0.14861111111111111</v>
      </c>
      <c r="M20" s="3">
        <v>0.15138888888888888</v>
      </c>
      <c r="N20" s="3">
        <v>0.14027777777777778</v>
      </c>
      <c r="O20" s="3">
        <v>0.14583333333333334</v>
      </c>
      <c r="P20" s="6">
        <f t="shared" si="0"/>
        <v>0.14812499999999998</v>
      </c>
      <c r="Q20" s="2"/>
      <c r="R20" s="83" t="s">
        <v>47</v>
      </c>
      <c r="S20" s="83"/>
      <c r="T20" s="83"/>
    </row>
    <row r="21" spans="1:20" ht="37.049999999999997" customHeight="1" x14ac:dyDescent="0.3">
      <c r="A21" s="2">
        <v>13</v>
      </c>
      <c r="B21" s="88" t="s">
        <v>25</v>
      </c>
      <c r="C21" s="89"/>
      <c r="D21" s="89"/>
      <c r="E21" s="90"/>
      <c r="F21" s="3">
        <v>0.16666666666666666</v>
      </c>
      <c r="G21" s="3">
        <v>0.15902777777777777</v>
      </c>
      <c r="H21" s="3">
        <v>0.16944444444444445</v>
      </c>
      <c r="I21" s="3">
        <v>0.16250000000000001</v>
      </c>
      <c r="J21" s="3">
        <v>0.1701388888888889</v>
      </c>
      <c r="K21" s="3">
        <v>0.15625</v>
      </c>
      <c r="L21" s="3">
        <v>0.16666666666666666</v>
      </c>
      <c r="M21" s="3">
        <v>0.15902777777777777</v>
      </c>
      <c r="N21" s="3">
        <v>0.1736111111111111</v>
      </c>
      <c r="O21" s="3">
        <v>0.17152777777777778</v>
      </c>
      <c r="P21" s="6">
        <f t="shared" si="0"/>
        <v>0.16548611111111111</v>
      </c>
      <c r="Q21" s="2"/>
      <c r="R21" s="83" t="s">
        <v>48</v>
      </c>
      <c r="S21" s="83"/>
      <c r="T21" s="83"/>
    </row>
    <row r="22" spans="1:20" ht="37.049999999999997" customHeight="1" x14ac:dyDescent="0.3">
      <c r="A22" s="2">
        <v>14</v>
      </c>
      <c r="B22" s="88" t="s">
        <v>26</v>
      </c>
      <c r="C22" s="89"/>
      <c r="D22" s="89"/>
      <c r="E22" s="90"/>
      <c r="F22" s="3">
        <v>0.22569444444444445</v>
      </c>
      <c r="G22" s="3">
        <v>0.23125000000000001</v>
      </c>
      <c r="H22" s="3">
        <v>0.22638888888888889</v>
      </c>
      <c r="I22" s="3">
        <v>0.2326388888888889</v>
      </c>
      <c r="J22" s="3">
        <v>0.22708333333333333</v>
      </c>
      <c r="K22" s="3">
        <v>0.22500000000000001</v>
      </c>
      <c r="L22" s="3">
        <v>0.22916666666666666</v>
      </c>
      <c r="M22" s="3">
        <v>0.21666666666666667</v>
      </c>
      <c r="N22" s="3">
        <v>0.21666666666666667</v>
      </c>
      <c r="O22" s="3">
        <v>0.22291666666666668</v>
      </c>
      <c r="P22" s="6">
        <f t="shared" si="0"/>
        <v>0.22534722222222228</v>
      </c>
      <c r="Q22" s="2"/>
      <c r="R22" s="83" t="s">
        <v>49</v>
      </c>
      <c r="S22" s="83"/>
      <c r="T22" s="83"/>
    </row>
    <row r="23" spans="1:20" ht="37.049999999999997" customHeight="1" x14ac:dyDescent="0.3">
      <c r="A23" s="2">
        <v>15</v>
      </c>
      <c r="B23" s="88" t="s">
        <v>27</v>
      </c>
      <c r="C23" s="89"/>
      <c r="D23" s="89"/>
      <c r="E23" s="90"/>
      <c r="F23" s="3">
        <v>9.7222222222222224E-2</v>
      </c>
      <c r="G23" s="3">
        <v>9.0972222222222218E-2</v>
      </c>
      <c r="H23" s="3">
        <v>0.1</v>
      </c>
      <c r="I23" s="3">
        <v>8.6805555555555552E-2</v>
      </c>
      <c r="J23" s="3">
        <v>9.7222222222222224E-2</v>
      </c>
      <c r="K23" s="3">
        <v>8.8888888888888892E-2</v>
      </c>
      <c r="L23" s="3">
        <v>8.8888888888888892E-2</v>
      </c>
      <c r="M23" s="3">
        <v>9.7916666666666666E-2</v>
      </c>
      <c r="N23" s="3">
        <v>0.1076388888888889</v>
      </c>
      <c r="O23" s="3">
        <v>9.2361111111111116E-2</v>
      </c>
      <c r="P23" s="6">
        <f t="shared" si="0"/>
        <v>9.4791666666666677E-2</v>
      </c>
      <c r="Q23" s="2"/>
      <c r="R23" s="83" t="s">
        <v>50</v>
      </c>
      <c r="S23" s="83"/>
      <c r="T23" s="83"/>
    </row>
    <row r="24" spans="1:20" ht="37.049999999999997" customHeight="1" x14ac:dyDescent="0.3">
      <c r="A24" s="2">
        <v>16</v>
      </c>
      <c r="B24" s="88" t="s">
        <v>28</v>
      </c>
      <c r="C24" s="89"/>
      <c r="D24" s="89"/>
      <c r="E24" s="90"/>
      <c r="F24" s="3">
        <v>0.19791666666666666</v>
      </c>
      <c r="G24" s="3">
        <v>0.20416666666666666</v>
      </c>
      <c r="H24" s="3">
        <v>0.19097222222222221</v>
      </c>
      <c r="I24" s="3">
        <v>0.19444444444444445</v>
      </c>
      <c r="J24" s="3">
        <v>0.19027777777777777</v>
      </c>
      <c r="K24" s="3">
        <v>0.20208333333333334</v>
      </c>
      <c r="L24" s="3">
        <v>0.20555555555555555</v>
      </c>
      <c r="M24" s="3">
        <v>0.2076388888888889</v>
      </c>
      <c r="N24" s="3">
        <v>0.18958333333333333</v>
      </c>
      <c r="O24" s="3">
        <v>0.19513888888888889</v>
      </c>
      <c r="P24" s="6">
        <f t="shared" si="0"/>
        <v>0.19777777777777777</v>
      </c>
      <c r="Q24" s="2"/>
      <c r="R24" s="83" t="s">
        <v>51</v>
      </c>
      <c r="S24" s="83"/>
      <c r="T24" s="83"/>
    </row>
    <row r="25" spans="1:20" ht="37.049999999999997" customHeight="1" x14ac:dyDescent="0.3">
      <c r="A25" s="2">
        <v>17</v>
      </c>
      <c r="B25" s="88" t="s">
        <v>29</v>
      </c>
      <c r="C25" s="89"/>
      <c r="D25" s="89"/>
      <c r="E25" s="90"/>
      <c r="F25" s="3">
        <v>0.13194444444444445</v>
      </c>
      <c r="G25" s="3">
        <v>0.13819444444444445</v>
      </c>
      <c r="H25" s="3">
        <v>0.1423611111111111</v>
      </c>
      <c r="I25" s="3">
        <v>0.13541666666666666</v>
      </c>
      <c r="J25" s="3">
        <v>0.12777777777777777</v>
      </c>
      <c r="K25" s="3">
        <v>0.12986111111111112</v>
      </c>
      <c r="L25" s="3">
        <v>0.13750000000000001</v>
      </c>
      <c r="M25" s="3">
        <v>0.12361111111111112</v>
      </c>
      <c r="N25" s="3">
        <v>0.1423611111111111</v>
      </c>
      <c r="O25" s="3">
        <v>0.12291666666666666</v>
      </c>
      <c r="P25" s="6">
        <f t="shared" si="0"/>
        <v>0.13319444444444445</v>
      </c>
      <c r="Q25" s="2"/>
      <c r="R25" s="83" t="s">
        <v>52</v>
      </c>
      <c r="S25" s="83"/>
      <c r="T25" s="83"/>
    </row>
    <row r="26" spans="1:20" ht="37.049999999999997" customHeight="1" x14ac:dyDescent="0.3">
      <c r="A26" s="2">
        <v>18</v>
      </c>
      <c r="B26" s="88" t="s">
        <v>30</v>
      </c>
      <c r="C26" s="89"/>
      <c r="D26" s="89"/>
      <c r="E26" s="90"/>
      <c r="F26" s="3">
        <v>7.9861111111111105E-2</v>
      </c>
      <c r="G26" s="3">
        <v>7.7777777777777779E-2</v>
      </c>
      <c r="H26" s="3">
        <v>7.9861111111111105E-2</v>
      </c>
      <c r="I26" s="3">
        <v>8.5416666666666669E-2</v>
      </c>
      <c r="J26" s="3">
        <v>7.6388888888888895E-2</v>
      </c>
      <c r="K26" s="3">
        <v>8.6805555555555552E-2</v>
      </c>
      <c r="L26" s="3">
        <v>7.9861111111111105E-2</v>
      </c>
      <c r="M26" s="3">
        <v>7.0833333333333331E-2</v>
      </c>
      <c r="N26" s="3">
        <v>8.819444444444445E-2</v>
      </c>
      <c r="O26" s="3">
        <v>8.2638888888888887E-2</v>
      </c>
      <c r="P26" s="6">
        <f t="shared" si="0"/>
        <v>8.0763888888888885E-2</v>
      </c>
      <c r="Q26" s="2"/>
      <c r="R26" s="83" t="s">
        <v>53</v>
      </c>
      <c r="S26" s="83"/>
      <c r="T26" s="83"/>
    </row>
    <row r="27" spans="1:20" ht="37.049999999999997" customHeight="1" x14ac:dyDescent="0.3">
      <c r="A27" s="2">
        <v>19</v>
      </c>
      <c r="B27" s="88" t="s">
        <v>31</v>
      </c>
      <c r="C27" s="89"/>
      <c r="D27" s="89"/>
      <c r="E27" s="90"/>
      <c r="F27" s="3">
        <v>8.6805555555555552E-2</v>
      </c>
      <c r="G27" s="3">
        <v>9.4444444444444442E-2</v>
      </c>
      <c r="H27" s="3">
        <v>8.6805555555555552E-2</v>
      </c>
      <c r="I27" s="3">
        <v>7.8472222222222221E-2</v>
      </c>
      <c r="J27" s="3">
        <v>9.4444444444444442E-2</v>
      </c>
      <c r="K27" s="3">
        <v>8.3333333333333329E-2</v>
      </c>
      <c r="L27" s="3">
        <v>8.5416666666666669E-2</v>
      </c>
      <c r="M27" s="3">
        <v>8.3333333333333329E-2</v>
      </c>
      <c r="N27" s="3">
        <v>7.8472222222222221E-2</v>
      </c>
      <c r="O27" s="3">
        <v>8.7499999999999994E-2</v>
      </c>
      <c r="P27" s="6">
        <f t="shared" si="0"/>
        <v>8.5902777777777786E-2</v>
      </c>
      <c r="Q27" s="2"/>
      <c r="R27" s="83" t="s">
        <v>54</v>
      </c>
      <c r="S27" s="83"/>
      <c r="T27" s="83"/>
    </row>
    <row r="28" spans="1:20" ht="37.049999999999997" customHeight="1" x14ac:dyDescent="0.3">
      <c r="A28" s="2">
        <v>20</v>
      </c>
      <c r="B28" s="92" t="s">
        <v>32</v>
      </c>
      <c r="C28" s="92"/>
      <c r="D28" s="92"/>
      <c r="E28" s="92"/>
      <c r="F28" s="3">
        <v>0.1111111111111111</v>
      </c>
      <c r="G28" s="3">
        <v>0.10138888888888889</v>
      </c>
      <c r="H28" s="3">
        <v>0.10069444444444445</v>
      </c>
      <c r="I28" s="3">
        <v>0.12152777777777778</v>
      </c>
      <c r="J28" s="3">
        <v>0.11736111111111111</v>
      </c>
      <c r="K28" s="3">
        <v>0.11458333333333333</v>
      </c>
      <c r="L28" s="3">
        <v>0.11527777777777778</v>
      </c>
      <c r="M28" s="3">
        <v>0.10972222222222222</v>
      </c>
      <c r="N28" s="3">
        <v>0.11319444444444444</v>
      </c>
      <c r="O28" s="3">
        <v>0.10069444444444445</v>
      </c>
      <c r="P28" s="6">
        <f t="shared" si="0"/>
        <v>0.11055555555555556</v>
      </c>
      <c r="Q28" s="2"/>
      <c r="R28" s="83" t="s">
        <v>55</v>
      </c>
      <c r="S28" s="83"/>
      <c r="T28" s="83"/>
    </row>
  </sheetData>
  <mergeCells count="53">
    <mergeCell ref="B10:E10"/>
    <mergeCell ref="B11:E11"/>
    <mergeCell ref="B12:E12"/>
    <mergeCell ref="B13:E13"/>
    <mergeCell ref="C3:E3"/>
    <mergeCell ref="C4:E4"/>
    <mergeCell ref="C5:E5"/>
    <mergeCell ref="B26:E26"/>
    <mergeCell ref="B27:E27"/>
    <mergeCell ref="B28:E28"/>
    <mergeCell ref="F7:O7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A7:A8"/>
    <mergeCell ref="B7:E8"/>
    <mergeCell ref="M3:O5"/>
    <mergeCell ref="R7:T8"/>
    <mergeCell ref="R9:T9"/>
    <mergeCell ref="B9:E9"/>
    <mergeCell ref="H3:J3"/>
    <mergeCell ref="H4:J4"/>
    <mergeCell ref="H5:J5"/>
    <mergeCell ref="R25:T25"/>
    <mergeCell ref="R26:T26"/>
    <mergeCell ref="R27:T27"/>
    <mergeCell ref="R28:T28"/>
    <mergeCell ref="R17:T17"/>
    <mergeCell ref="R18:T18"/>
    <mergeCell ref="R19:T19"/>
    <mergeCell ref="R20:T20"/>
    <mergeCell ref="R21:T21"/>
    <mergeCell ref="R22:T22"/>
    <mergeCell ref="R10:T10"/>
    <mergeCell ref="P7:P8"/>
    <mergeCell ref="Q7:Q8"/>
    <mergeCell ref="R23:T23"/>
    <mergeCell ref="R24:T24"/>
    <mergeCell ref="R11:T11"/>
    <mergeCell ref="R12:T12"/>
    <mergeCell ref="R13:T13"/>
    <mergeCell ref="R14:T14"/>
    <mergeCell ref="R15:T15"/>
    <mergeCell ref="R16:T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7064-C228-45C2-B9E0-E5108EA91282}">
  <dimension ref="A1:Y35"/>
  <sheetViews>
    <sheetView zoomScale="62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U4" sqref="U4:U23"/>
    </sheetView>
  </sheetViews>
  <sheetFormatPr defaultRowHeight="15.6" x14ac:dyDescent="0.3"/>
  <cols>
    <col min="1" max="1" width="10.69921875" bestFit="1" customWidth="1"/>
    <col min="2" max="4" width="16.59765625" customWidth="1"/>
    <col min="5" max="14" width="9.69921875" bestFit="1" customWidth="1"/>
    <col min="15" max="15" width="11.59765625" customWidth="1"/>
    <col min="16" max="16" width="20.09765625" customWidth="1"/>
    <col min="17" max="17" width="22.796875" bestFit="1" customWidth="1"/>
    <col min="18" max="18" width="13.8984375" bestFit="1" customWidth="1"/>
    <col min="19" max="19" width="31.59765625" bestFit="1" customWidth="1"/>
    <col min="20" max="20" width="31.5" customWidth="1"/>
    <col min="21" max="21" width="38.5" bestFit="1" customWidth="1"/>
    <col min="22" max="22" width="31.59765625" customWidth="1"/>
    <col min="24" max="24" width="50.69921875" customWidth="1"/>
  </cols>
  <sheetData>
    <row r="1" spans="1:25" ht="25.8" x14ac:dyDescent="0.5">
      <c r="A1" s="64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t="s">
        <v>75</v>
      </c>
    </row>
    <row r="2" spans="1:25" ht="21" x14ac:dyDescent="0.4">
      <c r="A2" s="66" t="s">
        <v>57</v>
      </c>
      <c r="B2" s="74" t="s">
        <v>6</v>
      </c>
      <c r="C2" s="75"/>
      <c r="D2" s="76"/>
      <c r="E2" s="80" t="s">
        <v>56</v>
      </c>
      <c r="F2" s="81"/>
      <c r="G2" s="81"/>
      <c r="H2" s="81"/>
      <c r="I2" s="81"/>
      <c r="J2" s="81"/>
      <c r="K2" s="81"/>
      <c r="L2" s="81"/>
      <c r="M2" s="81"/>
      <c r="N2" s="82"/>
      <c r="O2" s="66" t="s">
        <v>73</v>
      </c>
      <c r="P2" s="66" t="s">
        <v>74</v>
      </c>
      <c r="Q2" s="66" t="s">
        <v>68</v>
      </c>
      <c r="R2" s="66" t="s">
        <v>69</v>
      </c>
      <c r="S2" s="66" t="s">
        <v>70</v>
      </c>
      <c r="T2" s="66" t="s">
        <v>76</v>
      </c>
      <c r="U2" s="66" t="s">
        <v>77</v>
      </c>
      <c r="V2" s="74" t="s">
        <v>33</v>
      </c>
      <c r="W2" s="75"/>
      <c r="X2" s="76"/>
    </row>
    <row r="3" spans="1:25" ht="21" x14ac:dyDescent="0.4">
      <c r="A3" s="67"/>
      <c r="B3" s="77"/>
      <c r="C3" s="78"/>
      <c r="D3" s="79"/>
      <c r="E3" s="7" t="s">
        <v>58</v>
      </c>
      <c r="F3" s="7" t="s">
        <v>59</v>
      </c>
      <c r="G3" s="7" t="s">
        <v>60</v>
      </c>
      <c r="H3" s="7" t="s">
        <v>61</v>
      </c>
      <c r="I3" s="7" t="s">
        <v>62</v>
      </c>
      <c r="J3" s="7" t="s">
        <v>63</v>
      </c>
      <c r="K3" s="7" t="s">
        <v>64</v>
      </c>
      <c r="L3" s="7" t="s">
        <v>65</v>
      </c>
      <c r="M3" s="7" t="s">
        <v>67</v>
      </c>
      <c r="N3" s="7" t="s">
        <v>66</v>
      </c>
      <c r="O3" s="67"/>
      <c r="P3" s="67"/>
      <c r="Q3" s="67"/>
      <c r="R3" s="67"/>
      <c r="S3" s="67"/>
      <c r="T3" s="67"/>
      <c r="U3" s="67"/>
      <c r="V3" s="77"/>
      <c r="W3" s="78"/>
      <c r="X3" s="79"/>
    </row>
    <row r="4" spans="1:25" ht="18" customHeight="1" x14ac:dyDescent="0.4">
      <c r="A4" s="11">
        <v>1</v>
      </c>
      <c r="B4" s="68" t="s">
        <v>13</v>
      </c>
      <c r="C4" s="69"/>
      <c r="D4" s="70"/>
      <c r="E4" s="12">
        <v>150</v>
      </c>
      <c r="F4" s="12">
        <v>147</v>
      </c>
      <c r="G4" s="12">
        <v>141</v>
      </c>
      <c r="H4" s="12">
        <v>153</v>
      </c>
      <c r="I4" s="12">
        <v>146</v>
      </c>
      <c r="J4" s="12">
        <v>136</v>
      </c>
      <c r="K4" s="12">
        <v>146</v>
      </c>
      <c r="L4" s="12">
        <v>156</v>
      </c>
      <c r="M4" s="12">
        <v>151</v>
      </c>
      <c r="N4" s="12">
        <v>149</v>
      </c>
      <c r="O4" s="11">
        <f>AVERAGE(E4:N4)</f>
        <v>147.5</v>
      </c>
      <c r="P4" s="13">
        <f>O4/86400</f>
        <v>1.707175925925926E-3</v>
      </c>
      <c r="Q4" s="14">
        <f>_xlfn.STDEV.S(E4:N4)</f>
        <v>5.7975090436420293</v>
      </c>
      <c r="R4" s="14">
        <f>MAX(E4:N4)-MIN(E4:N4)</f>
        <v>20</v>
      </c>
      <c r="S4" s="14">
        <f>(Q4/O4)*100</f>
        <v>3.9305146058590026</v>
      </c>
      <c r="T4" s="15">
        <f>(0.5*((O4- MIN($O$5:$O$23)) / (MAX($O$5:$O$23) - MIN($O$5:$O$23))))+(((S4- MIN($S$5:$S$23)) / (MAX($S$5:$S$23) - MIN($S$5:$S$23)))*0.5)</f>
        <v>0.20215114489324815</v>
      </c>
      <c r="U4" s="15">
        <f>RANK(T4,$T$4:$T$23,0)</f>
        <v>20</v>
      </c>
      <c r="V4" s="71" t="s">
        <v>36</v>
      </c>
      <c r="W4" s="72"/>
      <c r="X4" s="73"/>
    </row>
    <row r="5" spans="1:25" ht="18" customHeight="1" x14ac:dyDescent="0.4">
      <c r="A5" s="11">
        <v>2</v>
      </c>
      <c r="B5" s="68" t="s">
        <v>14</v>
      </c>
      <c r="C5" s="69"/>
      <c r="D5" s="70"/>
      <c r="E5" s="12">
        <v>105</v>
      </c>
      <c r="F5" s="12">
        <v>105</v>
      </c>
      <c r="G5" s="12">
        <v>97</v>
      </c>
      <c r="H5" s="12">
        <v>93.000000000000014</v>
      </c>
      <c r="I5" s="12">
        <v>108</v>
      </c>
      <c r="J5" s="12">
        <v>91</v>
      </c>
      <c r="K5" s="12">
        <v>94</v>
      </c>
      <c r="L5" s="12">
        <v>106</v>
      </c>
      <c r="M5" s="12">
        <v>97</v>
      </c>
      <c r="N5" s="12">
        <v>93.000000000000014</v>
      </c>
      <c r="O5" s="11">
        <f t="shared" ref="O5:O23" si="0">AVERAGE(E5:N5)</f>
        <v>98.9</v>
      </c>
      <c r="P5" s="13">
        <f t="shared" ref="P5:P23" si="1">O5/86400</f>
        <v>1.1446759259259259E-3</v>
      </c>
      <c r="Q5" s="14">
        <f t="shared" ref="Q5:Q23" si="2">_xlfn.STDEV.S(E5:N5)</f>
        <v>6.4195880795508264</v>
      </c>
      <c r="R5" s="14">
        <f t="shared" ref="R5:R23" si="3">MAX(E5:N5)-MIN(E5:N5)</f>
        <v>17</v>
      </c>
      <c r="S5" s="14">
        <f t="shared" ref="S5:S23" si="4">(Q5/O5)*100</f>
        <v>6.4909889580898135</v>
      </c>
      <c r="T5" s="15">
        <f t="shared" ref="T5:T23" si="5">(0.5*((O5- MIN($O$5:$O$23)) / (MAX($O$5:$O$23) - MIN($O$5:$O$23))))+(((S5- MIN($S$5:$S$23)) / (MAX($S$5:$S$23) - MIN($S$5:$S$23)))*0.5)</f>
        <v>0.23195399920099238</v>
      </c>
      <c r="U5" s="15">
        <f t="shared" ref="U5:U23" si="6">RANK(T5,$T$4:$T$23,0)</f>
        <v>19</v>
      </c>
      <c r="V5" s="71" t="s">
        <v>37</v>
      </c>
      <c r="W5" s="72"/>
      <c r="X5" s="73"/>
    </row>
    <row r="6" spans="1:25" ht="18" customHeight="1" x14ac:dyDescent="0.4">
      <c r="A6" s="11">
        <v>3</v>
      </c>
      <c r="B6" s="68" t="s">
        <v>15</v>
      </c>
      <c r="C6" s="69"/>
      <c r="D6" s="70"/>
      <c r="E6" s="12">
        <v>180</v>
      </c>
      <c r="F6" s="12">
        <v>186.00000000000003</v>
      </c>
      <c r="G6" s="12">
        <v>188</v>
      </c>
      <c r="H6" s="12">
        <v>189</v>
      </c>
      <c r="I6" s="12">
        <v>188</v>
      </c>
      <c r="J6" s="12">
        <v>172</v>
      </c>
      <c r="K6" s="12">
        <v>171</v>
      </c>
      <c r="L6" s="12">
        <v>182</v>
      </c>
      <c r="M6" s="12">
        <v>186.00000000000003</v>
      </c>
      <c r="N6" s="12">
        <v>184.99999999999997</v>
      </c>
      <c r="O6" s="11">
        <f t="shared" si="0"/>
        <v>182.7</v>
      </c>
      <c r="P6" s="13">
        <f t="shared" si="1"/>
        <v>2.1145833333333333E-3</v>
      </c>
      <c r="Q6" s="14">
        <f t="shared" si="2"/>
        <v>6.5157927802805071</v>
      </c>
      <c r="R6" s="14">
        <f t="shared" si="3"/>
        <v>18</v>
      </c>
      <c r="S6" s="14">
        <f t="shared" si="4"/>
        <v>3.5663890422991287</v>
      </c>
      <c r="T6" s="15">
        <f t="shared" si="5"/>
        <v>0.25825541860236489</v>
      </c>
      <c r="U6" s="15">
        <f t="shared" si="6"/>
        <v>18</v>
      </c>
      <c r="V6" s="71" t="s">
        <v>38</v>
      </c>
      <c r="W6" s="72"/>
      <c r="X6" s="73"/>
    </row>
    <row r="7" spans="1:25" ht="18" customHeight="1" x14ac:dyDescent="0.4">
      <c r="A7" s="11">
        <v>4</v>
      </c>
      <c r="B7" s="68" t="s">
        <v>16</v>
      </c>
      <c r="C7" s="69"/>
      <c r="D7" s="70"/>
      <c r="E7" s="12">
        <v>260</v>
      </c>
      <c r="F7" s="12">
        <v>245</v>
      </c>
      <c r="G7" s="12">
        <v>259</v>
      </c>
      <c r="H7" s="12">
        <v>262</v>
      </c>
      <c r="I7" s="12">
        <v>273</v>
      </c>
      <c r="J7" s="12">
        <v>254.00000000000003</v>
      </c>
      <c r="K7" s="12">
        <v>249</v>
      </c>
      <c r="L7" s="12">
        <v>250</v>
      </c>
      <c r="M7" s="12">
        <v>254.00000000000003</v>
      </c>
      <c r="N7" s="12">
        <v>262</v>
      </c>
      <c r="O7" s="11">
        <f t="shared" si="0"/>
        <v>256.8</v>
      </c>
      <c r="P7" s="13">
        <f t="shared" si="1"/>
        <v>2.9722222222222225E-3</v>
      </c>
      <c r="Q7" s="14">
        <f t="shared" si="2"/>
        <v>8.1213025775152303</v>
      </c>
      <c r="R7" s="14">
        <f t="shared" si="3"/>
        <v>28</v>
      </c>
      <c r="S7" s="14">
        <f t="shared" si="4"/>
        <v>3.1625010037053078</v>
      </c>
      <c r="T7" s="15">
        <f t="shared" si="5"/>
        <v>0.39526477919704983</v>
      </c>
      <c r="U7" s="15">
        <f t="shared" si="6"/>
        <v>4</v>
      </c>
      <c r="V7" s="71" t="s">
        <v>39</v>
      </c>
      <c r="W7" s="72"/>
      <c r="X7" s="73"/>
    </row>
    <row r="8" spans="1:25" ht="18" customHeight="1" x14ac:dyDescent="0.4">
      <c r="A8" s="11">
        <v>5</v>
      </c>
      <c r="B8" s="68" t="s">
        <v>17</v>
      </c>
      <c r="C8" s="69"/>
      <c r="D8" s="70"/>
      <c r="E8" s="12">
        <v>170</v>
      </c>
      <c r="F8" s="12">
        <v>158</v>
      </c>
      <c r="G8" s="12">
        <v>179</v>
      </c>
      <c r="H8" s="12">
        <v>174</v>
      </c>
      <c r="I8" s="12">
        <v>157</v>
      </c>
      <c r="J8" s="12">
        <v>180</v>
      </c>
      <c r="K8" s="12">
        <v>170</v>
      </c>
      <c r="L8" s="12">
        <v>164</v>
      </c>
      <c r="M8" s="12">
        <v>155</v>
      </c>
      <c r="N8" s="12">
        <v>173</v>
      </c>
      <c r="O8" s="11">
        <f t="shared" si="0"/>
        <v>168</v>
      </c>
      <c r="P8" s="13">
        <f t="shared" si="1"/>
        <v>1.9444444444444444E-3</v>
      </c>
      <c r="Q8" s="14">
        <f t="shared" si="2"/>
        <v>9.0676470058236287</v>
      </c>
      <c r="R8" s="14">
        <f t="shared" si="3"/>
        <v>25</v>
      </c>
      <c r="S8" s="14">
        <f t="shared" si="4"/>
        <v>5.397408932037874</v>
      </c>
      <c r="T8" s="15">
        <f t="shared" si="5"/>
        <v>0.32234573137433997</v>
      </c>
      <c r="U8" s="15">
        <f t="shared" si="6"/>
        <v>12</v>
      </c>
      <c r="V8" s="71" t="s">
        <v>40</v>
      </c>
      <c r="W8" s="72"/>
      <c r="X8" s="73"/>
    </row>
    <row r="9" spans="1:25" ht="18" customHeight="1" x14ac:dyDescent="0.4">
      <c r="A9" s="11">
        <v>6</v>
      </c>
      <c r="B9" s="68" t="s">
        <v>18</v>
      </c>
      <c r="C9" s="69"/>
      <c r="D9" s="70"/>
      <c r="E9" s="12">
        <v>90</v>
      </c>
      <c r="F9" s="12">
        <v>102</v>
      </c>
      <c r="G9" s="12">
        <v>92</v>
      </c>
      <c r="H9" s="12">
        <v>103.99999999999999</v>
      </c>
      <c r="I9" s="12">
        <v>75</v>
      </c>
      <c r="J9" s="12">
        <v>78</v>
      </c>
      <c r="K9" s="12">
        <v>95</v>
      </c>
      <c r="L9" s="12">
        <v>78</v>
      </c>
      <c r="M9" s="12">
        <v>85</v>
      </c>
      <c r="N9" s="12">
        <v>102</v>
      </c>
      <c r="O9" s="11">
        <f t="shared" si="0"/>
        <v>90.1</v>
      </c>
      <c r="P9" s="13">
        <f t="shared" si="1"/>
        <v>1.0428240740740741E-3</v>
      </c>
      <c r="Q9" s="14">
        <f t="shared" si="2"/>
        <v>10.805862606320053</v>
      </c>
      <c r="R9" s="14">
        <f t="shared" si="3"/>
        <v>28.999999999999986</v>
      </c>
      <c r="S9" s="14">
        <f t="shared" si="4"/>
        <v>11.993188242308605</v>
      </c>
      <c r="T9" s="15">
        <f t="shared" si="5"/>
        <v>0.5</v>
      </c>
      <c r="U9" s="15">
        <f t="shared" si="6"/>
        <v>1</v>
      </c>
      <c r="V9" s="71" t="s">
        <v>41</v>
      </c>
      <c r="W9" s="72"/>
      <c r="X9" s="73"/>
    </row>
    <row r="10" spans="1:25" ht="18" customHeight="1" x14ac:dyDescent="0.4">
      <c r="A10" s="11">
        <v>7</v>
      </c>
      <c r="B10" s="68" t="s">
        <v>19</v>
      </c>
      <c r="C10" s="69"/>
      <c r="D10" s="70"/>
      <c r="E10" s="12">
        <v>195</v>
      </c>
      <c r="F10" s="12">
        <v>183</v>
      </c>
      <c r="G10" s="12">
        <v>184.99999999999997</v>
      </c>
      <c r="H10" s="12">
        <v>199</v>
      </c>
      <c r="I10" s="12">
        <v>180</v>
      </c>
      <c r="J10" s="12">
        <v>186.00000000000003</v>
      </c>
      <c r="K10" s="12">
        <v>183</v>
      </c>
      <c r="L10" s="12">
        <v>180</v>
      </c>
      <c r="M10" s="12">
        <v>198.00000000000003</v>
      </c>
      <c r="N10" s="12">
        <v>194</v>
      </c>
      <c r="O10" s="11">
        <f t="shared" si="0"/>
        <v>188.3</v>
      </c>
      <c r="P10" s="13">
        <f t="shared" si="1"/>
        <v>2.1793981481481482E-3</v>
      </c>
      <c r="Q10" s="14">
        <f t="shared" si="2"/>
        <v>7.4244341348160869</v>
      </c>
      <c r="R10" s="14">
        <f t="shared" si="3"/>
        <v>19</v>
      </c>
      <c r="S10" s="14">
        <f t="shared" si="4"/>
        <v>3.9428752707467272</v>
      </c>
      <c r="T10" s="15">
        <f t="shared" si="5"/>
        <v>0.2898261954076955</v>
      </c>
      <c r="U10" s="15">
        <f t="shared" si="6"/>
        <v>14</v>
      </c>
      <c r="V10" s="71" t="s">
        <v>42</v>
      </c>
      <c r="W10" s="72"/>
      <c r="X10" s="73"/>
    </row>
    <row r="11" spans="1:25" ht="18" customHeight="1" x14ac:dyDescent="0.4">
      <c r="A11" s="11">
        <v>8</v>
      </c>
      <c r="B11" s="68" t="s">
        <v>20</v>
      </c>
      <c r="C11" s="69"/>
      <c r="D11" s="70"/>
      <c r="E11" s="12">
        <v>160</v>
      </c>
      <c r="F11" s="12">
        <v>152</v>
      </c>
      <c r="G11" s="12">
        <v>170</v>
      </c>
      <c r="H11" s="12">
        <v>164</v>
      </c>
      <c r="I11" s="12">
        <v>149</v>
      </c>
      <c r="J11" s="12">
        <v>168</v>
      </c>
      <c r="K11" s="12">
        <v>157</v>
      </c>
      <c r="L11" s="12">
        <v>150</v>
      </c>
      <c r="M11" s="12">
        <v>156</v>
      </c>
      <c r="N11" s="12">
        <v>154</v>
      </c>
      <c r="O11" s="11">
        <f t="shared" si="0"/>
        <v>158</v>
      </c>
      <c r="P11" s="13">
        <f t="shared" si="1"/>
        <v>1.8287037037037037E-3</v>
      </c>
      <c r="Q11" s="14">
        <f t="shared" si="2"/>
        <v>7.3484692283495345</v>
      </c>
      <c r="R11" s="14">
        <f t="shared" si="3"/>
        <v>21</v>
      </c>
      <c r="S11" s="14">
        <f t="shared" si="4"/>
        <v>4.6509298913604651</v>
      </c>
      <c r="T11" s="15">
        <f t="shared" si="5"/>
        <v>0.26210239197787288</v>
      </c>
      <c r="U11" s="15">
        <f t="shared" si="6"/>
        <v>17</v>
      </c>
      <c r="V11" s="71" t="s">
        <v>43</v>
      </c>
      <c r="W11" s="72"/>
      <c r="X11" s="73"/>
    </row>
    <row r="12" spans="1:25" ht="18" customHeight="1" x14ac:dyDescent="0.4">
      <c r="A12" s="11">
        <v>9</v>
      </c>
      <c r="B12" s="68" t="s">
        <v>21</v>
      </c>
      <c r="C12" s="69"/>
      <c r="D12" s="70"/>
      <c r="E12" s="12">
        <v>175</v>
      </c>
      <c r="F12" s="12">
        <v>169</v>
      </c>
      <c r="G12" s="12">
        <v>173</v>
      </c>
      <c r="H12" s="12">
        <v>174</v>
      </c>
      <c r="I12" s="12">
        <v>181</v>
      </c>
      <c r="J12" s="12">
        <v>171</v>
      </c>
      <c r="K12" s="12">
        <v>164</v>
      </c>
      <c r="L12" s="12">
        <v>190</v>
      </c>
      <c r="M12" s="12">
        <v>186.00000000000003</v>
      </c>
      <c r="N12" s="12">
        <v>186.00000000000003</v>
      </c>
      <c r="O12" s="11">
        <f t="shared" si="0"/>
        <v>176.9</v>
      </c>
      <c r="P12" s="13">
        <f t="shared" si="1"/>
        <v>2.0474537037037037E-3</v>
      </c>
      <c r="Q12" s="14">
        <f t="shared" si="2"/>
        <v>8.4649604580030768</v>
      </c>
      <c r="R12" s="14">
        <f t="shared" si="3"/>
        <v>26</v>
      </c>
      <c r="S12" s="14">
        <f t="shared" si="4"/>
        <v>4.785167019786928</v>
      </c>
      <c r="T12" s="15">
        <f t="shared" si="5"/>
        <v>0.30941557264782471</v>
      </c>
      <c r="U12" s="15">
        <f t="shared" si="6"/>
        <v>13</v>
      </c>
      <c r="V12" s="71" t="s">
        <v>44</v>
      </c>
      <c r="W12" s="72"/>
      <c r="X12" s="73"/>
    </row>
    <row r="13" spans="1:25" ht="18" customHeight="1" x14ac:dyDescent="0.4">
      <c r="A13" s="11">
        <v>10</v>
      </c>
      <c r="B13" s="68" t="s">
        <v>22</v>
      </c>
      <c r="C13" s="69"/>
      <c r="D13" s="70"/>
      <c r="E13" s="12">
        <v>245</v>
      </c>
      <c r="F13" s="12">
        <v>249</v>
      </c>
      <c r="G13" s="12">
        <v>238</v>
      </c>
      <c r="H13" s="12">
        <v>237</v>
      </c>
      <c r="I13" s="12">
        <v>235</v>
      </c>
      <c r="J13" s="12">
        <v>244</v>
      </c>
      <c r="K13" s="12">
        <v>250</v>
      </c>
      <c r="L13" s="12">
        <v>229.99999999999997</v>
      </c>
      <c r="M13" s="12">
        <v>252.99999999999997</v>
      </c>
      <c r="N13" s="12">
        <v>231.00000000000003</v>
      </c>
      <c r="O13" s="11">
        <f t="shared" si="0"/>
        <v>241.2</v>
      </c>
      <c r="P13" s="13">
        <f t="shared" si="1"/>
        <v>2.7916666666666667E-3</v>
      </c>
      <c r="Q13" s="14">
        <f t="shared" si="2"/>
        <v>8.1349725124168497</v>
      </c>
      <c r="R13" s="14">
        <f t="shared" si="3"/>
        <v>23</v>
      </c>
      <c r="S13" s="14">
        <f t="shared" si="4"/>
        <v>3.372708338481281</v>
      </c>
      <c r="T13" s="15">
        <f t="shared" si="5"/>
        <v>0.37294596649188955</v>
      </c>
      <c r="U13" s="15">
        <f t="shared" si="6"/>
        <v>6</v>
      </c>
      <c r="V13" s="71" t="s">
        <v>45</v>
      </c>
      <c r="W13" s="72"/>
      <c r="X13" s="73"/>
    </row>
    <row r="14" spans="1:25" ht="18" customHeight="1" x14ac:dyDescent="0.4">
      <c r="A14" s="11">
        <v>11</v>
      </c>
      <c r="B14" s="68" t="s">
        <v>23</v>
      </c>
      <c r="C14" s="69"/>
      <c r="D14" s="70"/>
      <c r="E14" s="12">
        <v>229.99999999999997</v>
      </c>
      <c r="F14" s="12">
        <v>236</v>
      </c>
      <c r="G14" s="12">
        <v>224</v>
      </c>
      <c r="H14" s="12">
        <v>215</v>
      </c>
      <c r="I14" s="12">
        <v>221</v>
      </c>
      <c r="J14" s="12">
        <v>233</v>
      </c>
      <c r="K14" s="12">
        <v>223</v>
      </c>
      <c r="L14" s="12">
        <v>232.00000000000003</v>
      </c>
      <c r="M14" s="12">
        <v>242.00000000000003</v>
      </c>
      <c r="N14" s="12">
        <v>218.99999999999997</v>
      </c>
      <c r="O14" s="11">
        <f t="shared" si="0"/>
        <v>227.5</v>
      </c>
      <c r="P14" s="13">
        <f t="shared" si="1"/>
        <v>2.6331018518518517E-3</v>
      </c>
      <c r="Q14" s="14">
        <f t="shared" si="2"/>
        <v>8.4491945704243925</v>
      </c>
      <c r="R14" s="14">
        <f t="shared" si="3"/>
        <v>27.000000000000028</v>
      </c>
      <c r="S14" s="14">
        <f t="shared" si="4"/>
        <v>3.7139316793074251</v>
      </c>
      <c r="T14" s="15">
        <f t="shared" si="5"/>
        <v>0.36150962592296654</v>
      </c>
      <c r="U14" s="15">
        <f t="shared" si="6"/>
        <v>9</v>
      </c>
      <c r="V14" s="71" t="s">
        <v>46</v>
      </c>
      <c r="W14" s="72"/>
      <c r="X14" s="73"/>
    </row>
    <row r="15" spans="1:25" ht="18" customHeight="1" x14ac:dyDescent="0.4">
      <c r="A15" s="11">
        <v>12</v>
      </c>
      <c r="B15" s="68" t="s">
        <v>24</v>
      </c>
      <c r="C15" s="69"/>
      <c r="D15" s="70"/>
      <c r="E15" s="12">
        <v>215</v>
      </c>
      <c r="F15" s="12">
        <v>217.99999999999997</v>
      </c>
      <c r="G15" s="12">
        <v>220.00000000000003</v>
      </c>
      <c r="H15" s="12">
        <v>201</v>
      </c>
      <c r="I15" s="12">
        <v>207.99999999999997</v>
      </c>
      <c r="J15" s="12">
        <v>227</v>
      </c>
      <c r="K15" s="12">
        <v>214</v>
      </c>
      <c r="L15" s="12">
        <v>217.99999999999997</v>
      </c>
      <c r="M15" s="12">
        <v>202</v>
      </c>
      <c r="N15" s="12">
        <v>210</v>
      </c>
      <c r="O15" s="11">
        <f t="shared" si="0"/>
        <v>213.3</v>
      </c>
      <c r="P15" s="13">
        <f t="shared" si="1"/>
        <v>2.46875E-3</v>
      </c>
      <c r="Q15" s="14">
        <f t="shared" si="2"/>
        <v>8.1520276959512081</v>
      </c>
      <c r="R15" s="14">
        <f t="shared" si="3"/>
        <v>26</v>
      </c>
      <c r="S15" s="14">
        <f t="shared" si="4"/>
        <v>3.821860148125273</v>
      </c>
      <c r="T15" s="15">
        <f t="shared" si="5"/>
        <v>0.33684559301242106</v>
      </c>
      <c r="U15" s="15">
        <f t="shared" si="6"/>
        <v>10</v>
      </c>
      <c r="V15" s="71" t="s">
        <v>47</v>
      </c>
      <c r="W15" s="72"/>
      <c r="X15" s="73"/>
    </row>
    <row r="16" spans="1:25" ht="18" customHeight="1" x14ac:dyDescent="0.4">
      <c r="A16" s="11">
        <v>13</v>
      </c>
      <c r="B16" s="68" t="s">
        <v>25</v>
      </c>
      <c r="C16" s="69"/>
      <c r="D16" s="70"/>
      <c r="E16" s="12">
        <v>240</v>
      </c>
      <c r="F16" s="12">
        <v>229</v>
      </c>
      <c r="G16" s="12">
        <v>244</v>
      </c>
      <c r="H16" s="12">
        <v>234</v>
      </c>
      <c r="I16" s="12">
        <v>245</v>
      </c>
      <c r="J16" s="12">
        <v>225</v>
      </c>
      <c r="K16" s="12">
        <v>240</v>
      </c>
      <c r="L16" s="12">
        <v>229</v>
      </c>
      <c r="M16" s="12">
        <v>250</v>
      </c>
      <c r="N16" s="12">
        <v>247</v>
      </c>
      <c r="O16" s="11">
        <f t="shared" si="0"/>
        <v>238.3</v>
      </c>
      <c r="P16" s="13">
        <f t="shared" si="1"/>
        <v>2.7581018518518519E-3</v>
      </c>
      <c r="Q16" s="14">
        <f t="shared" si="2"/>
        <v>8.5900459189045595</v>
      </c>
      <c r="R16" s="14">
        <f t="shared" si="3"/>
        <v>25</v>
      </c>
      <c r="S16" s="14">
        <f t="shared" si="4"/>
        <v>3.6047192274043476</v>
      </c>
      <c r="T16" s="15">
        <f t="shared" si="5"/>
        <v>0.37885416794254911</v>
      </c>
      <c r="U16" s="15">
        <f t="shared" si="6"/>
        <v>5</v>
      </c>
      <c r="V16" s="71" t="s">
        <v>48</v>
      </c>
      <c r="W16" s="72"/>
      <c r="X16" s="73"/>
    </row>
    <row r="17" spans="1:24" ht="18" customHeight="1" x14ac:dyDescent="0.4">
      <c r="A17" s="11">
        <v>14</v>
      </c>
      <c r="B17" s="68" t="s">
        <v>26</v>
      </c>
      <c r="C17" s="69"/>
      <c r="D17" s="70"/>
      <c r="E17" s="12">
        <v>325</v>
      </c>
      <c r="F17" s="12">
        <v>333</v>
      </c>
      <c r="G17" s="12">
        <v>326</v>
      </c>
      <c r="H17" s="12">
        <v>335</v>
      </c>
      <c r="I17" s="12">
        <v>327</v>
      </c>
      <c r="J17" s="12">
        <v>324</v>
      </c>
      <c r="K17" s="12">
        <v>330</v>
      </c>
      <c r="L17" s="12">
        <v>312</v>
      </c>
      <c r="M17" s="12">
        <v>312</v>
      </c>
      <c r="N17" s="12">
        <v>321</v>
      </c>
      <c r="O17" s="11">
        <f t="shared" si="0"/>
        <v>324.5</v>
      </c>
      <c r="P17" s="13">
        <f t="shared" si="1"/>
        <v>3.7557870370370371E-3</v>
      </c>
      <c r="Q17" s="14">
        <f t="shared" si="2"/>
        <v>7.7924464850406396</v>
      </c>
      <c r="R17" s="14">
        <f t="shared" si="3"/>
        <v>23</v>
      </c>
      <c r="S17" s="14">
        <f t="shared" si="4"/>
        <v>2.4013702573314761</v>
      </c>
      <c r="T17" s="15">
        <f t="shared" si="5"/>
        <v>0.5</v>
      </c>
      <c r="U17" s="15">
        <f t="shared" si="6"/>
        <v>1</v>
      </c>
      <c r="V17" s="71" t="s">
        <v>49</v>
      </c>
      <c r="W17" s="72"/>
      <c r="X17" s="73"/>
    </row>
    <row r="18" spans="1:24" ht="18" customHeight="1" x14ac:dyDescent="0.4">
      <c r="A18" s="11">
        <v>15</v>
      </c>
      <c r="B18" s="68" t="s">
        <v>27</v>
      </c>
      <c r="C18" s="69"/>
      <c r="D18" s="70"/>
      <c r="E18" s="12">
        <v>140</v>
      </c>
      <c r="F18" s="12">
        <v>131</v>
      </c>
      <c r="G18" s="12">
        <v>144</v>
      </c>
      <c r="H18" s="12">
        <v>125</v>
      </c>
      <c r="I18" s="12">
        <v>140</v>
      </c>
      <c r="J18" s="12">
        <v>128</v>
      </c>
      <c r="K18" s="12">
        <v>128</v>
      </c>
      <c r="L18" s="12">
        <v>141</v>
      </c>
      <c r="M18" s="12">
        <v>155</v>
      </c>
      <c r="N18" s="12">
        <v>133</v>
      </c>
      <c r="O18" s="11">
        <f t="shared" si="0"/>
        <v>136.5</v>
      </c>
      <c r="P18" s="13">
        <f t="shared" si="1"/>
        <v>1.5798611111111111E-3</v>
      </c>
      <c r="Q18" s="14">
        <f t="shared" si="2"/>
        <v>9.204467514322717</v>
      </c>
      <c r="R18" s="14">
        <f t="shared" si="3"/>
        <v>30</v>
      </c>
      <c r="S18" s="14">
        <f t="shared" si="4"/>
        <v>6.7431996441924671</v>
      </c>
      <c r="T18" s="15">
        <f t="shared" si="5"/>
        <v>0.32530595584373956</v>
      </c>
      <c r="U18" s="15">
        <f t="shared" si="6"/>
        <v>11</v>
      </c>
      <c r="V18" s="71" t="s">
        <v>50</v>
      </c>
      <c r="W18" s="72"/>
      <c r="X18" s="73"/>
    </row>
    <row r="19" spans="1:24" ht="18" customHeight="1" x14ac:dyDescent="0.4">
      <c r="A19" s="11">
        <v>16</v>
      </c>
      <c r="B19" s="68" t="s">
        <v>28</v>
      </c>
      <c r="C19" s="69"/>
      <c r="D19" s="70"/>
      <c r="E19" s="12">
        <v>285</v>
      </c>
      <c r="F19" s="12">
        <v>294</v>
      </c>
      <c r="G19" s="12">
        <v>275</v>
      </c>
      <c r="H19" s="12">
        <v>280</v>
      </c>
      <c r="I19" s="12">
        <v>274</v>
      </c>
      <c r="J19" s="12">
        <v>291</v>
      </c>
      <c r="K19" s="12">
        <v>296</v>
      </c>
      <c r="L19" s="12">
        <v>299</v>
      </c>
      <c r="M19" s="12">
        <v>273</v>
      </c>
      <c r="N19" s="12">
        <v>281</v>
      </c>
      <c r="O19" s="11">
        <f t="shared" si="0"/>
        <v>284.8</v>
      </c>
      <c r="P19" s="13">
        <f t="shared" si="1"/>
        <v>3.2962962962962963E-3</v>
      </c>
      <c r="Q19" s="14">
        <f t="shared" si="2"/>
        <v>9.6586173383610596</v>
      </c>
      <c r="R19" s="14">
        <f t="shared" si="3"/>
        <v>26</v>
      </c>
      <c r="S19" s="14">
        <f t="shared" si="4"/>
        <v>3.3913684474582375</v>
      </c>
      <c r="T19" s="15">
        <f t="shared" si="5"/>
        <v>0.4669220891709579</v>
      </c>
      <c r="U19" s="15">
        <f t="shared" si="6"/>
        <v>3</v>
      </c>
      <c r="V19" s="71" t="s">
        <v>51</v>
      </c>
      <c r="W19" s="72"/>
      <c r="X19" s="73"/>
    </row>
    <row r="20" spans="1:24" ht="18" customHeight="1" x14ac:dyDescent="0.4">
      <c r="A20" s="11">
        <v>17</v>
      </c>
      <c r="B20" s="68" t="s">
        <v>29</v>
      </c>
      <c r="C20" s="69"/>
      <c r="D20" s="70"/>
      <c r="E20" s="12">
        <v>190</v>
      </c>
      <c r="F20" s="12">
        <v>199</v>
      </c>
      <c r="G20" s="12">
        <v>205</v>
      </c>
      <c r="H20" s="12">
        <v>195</v>
      </c>
      <c r="I20" s="12">
        <v>184</v>
      </c>
      <c r="J20" s="12">
        <v>187.00000000000003</v>
      </c>
      <c r="K20" s="12">
        <v>198.00000000000003</v>
      </c>
      <c r="L20" s="12">
        <v>178</v>
      </c>
      <c r="M20" s="12">
        <v>205</v>
      </c>
      <c r="N20" s="12">
        <v>177</v>
      </c>
      <c r="O20" s="11">
        <f t="shared" si="0"/>
        <v>191.8</v>
      </c>
      <c r="P20" s="13">
        <f t="shared" si="1"/>
        <v>2.2199074074074074E-3</v>
      </c>
      <c r="Q20" s="14">
        <f t="shared" si="2"/>
        <v>10.250203250017371</v>
      </c>
      <c r="R20" s="14">
        <f t="shared" si="3"/>
        <v>28</v>
      </c>
      <c r="S20" s="14">
        <f t="shared" si="4"/>
        <v>5.3442144160674507</v>
      </c>
      <c r="T20" s="15">
        <f t="shared" si="5"/>
        <v>0.37034073842297316</v>
      </c>
      <c r="U20" s="15">
        <f t="shared" si="6"/>
        <v>8</v>
      </c>
      <c r="V20" s="71" t="s">
        <v>52</v>
      </c>
      <c r="W20" s="72"/>
      <c r="X20" s="73"/>
    </row>
    <row r="21" spans="1:24" ht="18" customHeight="1" x14ac:dyDescent="0.4">
      <c r="A21" s="11">
        <v>18</v>
      </c>
      <c r="B21" s="68" t="s">
        <v>30</v>
      </c>
      <c r="C21" s="69"/>
      <c r="D21" s="70"/>
      <c r="E21" s="12">
        <v>114.99999999999999</v>
      </c>
      <c r="F21" s="12">
        <v>112</v>
      </c>
      <c r="G21" s="12">
        <v>114.99999999999999</v>
      </c>
      <c r="H21" s="12">
        <v>123</v>
      </c>
      <c r="I21" s="12">
        <v>110.00000000000001</v>
      </c>
      <c r="J21" s="12">
        <v>125</v>
      </c>
      <c r="K21" s="12">
        <v>114.99999999999999</v>
      </c>
      <c r="L21" s="12">
        <v>102</v>
      </c>
      <c r="M21" s="12">
        <v>127.00000000000001</v>
      </c>
      <c r="N21" s="12">
        <v>119</v>
      </c>
      <c r="O21" s="11">
        <f t="shared" si="0"/>
        <v>116.3</v>
      </c>
      <c r="P21" s="13">
        <f t="shared" si="1"/>
        <v>1.3460648148148147E-3</v>
      </c>
      <c r="Q21" s="14">
        <f t="shared" si="2"/>
        <v>7.5284645033218967</v>
      </c>
      <c r="R21" s="14">
        <f t="shared" si="3"/>
        <v>25.000000000000014</v>
      </c>
      <c r="S21" s="14">
        <f t="shared" si="4"/>
        <v>6.4733142762870992</v>
      </c>
      <c r="T21" s="15">
        <f t="shared" si="5"/>
        <v>0.26814869855952522</v>
      </c>
      <c r="U21" s="15">
        <f t="shared" si="6"/>
        <v>16</v>
      </c>
      <c r="V21" s="71" t="s">
        <v>53</v>
      </c>
      <c r="W21" s="72"/>
      <c r="X21" s="73"/>
    </row>
    <row r="22" spans="1:24" ht="18" customHeight="1" x14ac:dyDescent="0.4">
      <c r="A22" s="11">
        <v>19</v>
      </c>
      <c r="B22" s="68" t="s">
        <v>31</v>
      </c>
      <c r="C22" s="69"/>
      <c r="D22" s="70"/>
      <c r="E22" s="12">
        <v>125</v>
      </c>
      <c r="F22" s="12">
        <v>136</v>
      </c>
      <c r="G22" s="12">
        <v>125</v>
      </c>
      <c r="H22" s="12">
        <v>113</v>
      </c>
      <c r="I22" s="12">
        <v>136</v>
      </c>
      <c r="J22" s="12">
        <v>120</v>
      </c>
      <c r="K22" s="12">
        <v>123</v>
      </c>
      <c r="L22" s="12">
        <v>120</v>
      </c>
      <c r="M22" s="12">
        <v>113</v>
      </c>
      <c r="N22" s="12">
        <v>125.99999999999999</v>
      </c>
      <c r="O22" s="11">
        <f t="shared" si="0"/>
        <v>123.7</v>
      </c>
      <c r="P22" s="13">
        <f t="shared" si="1"/>
        <v>1.431712962962963E-3</v>
      </c>
      <c r="Q22" s="14">
        <f t="shared" si="2"/>
        <v>7.9449494788967794</v>
      </c>
      <c r="R22" s="14">
        <f t="shared" si="3"/>
        <v>23</v>
      </c>
      <c r="S22" s="14">
        <f t="shared" si="4"/>
        <v>6.4227562480976381</v>
      </c>
      <c r="T22" s="15">
        <f t="shared" si="5"/>
        <v>0.28129820466074362</v>
      </c>
      <c r="U22" s="15">
        <f t="shared" si="6"/>
        <v>15</v>
      </c>
      <c r="V22" s="71" t="s">
        <v>54</v>
      </c>
      <c r="W22" s="72"/>
      <c r="X22" s="73"/>
    </row>
    <row r="23" spans="1:24" ht="18" customHeight="1" x14ac:dyDescent="0.4">
      <c r="A23" s="11">
        <v>20</v>
      </c>
      <c r="B23" s="68" t="s">
        <v>32</v>
      </c>
      <c r="C23" s="69"/>
      <c r="D23" s="70"/>
      <c r="E23" s="12">
        <v>160</v>
      </c>
      <c r="F23" s="12">
        <v>146</v>
      </c>
      <c r="G23" s="12">
        <v>145</v>
      </c>
      <c r="H23" s="12">
        <v>175</v>
      </c>
      <c r="I23" s="12">
        <v>169</v>
      </c>
      <c r="J23" s="12">
        <v>165</v>
      </c>
      <c r="K23" s="12">
        <v>166</v>
      </c>
      <c r="L23" s="12">
        <v>158</v>
      </c>
      <c r="M23" s="12">
        <v>163</v>
      </c>
      <c r="N23" s="12">
        <v>145</v>
      </c>
      <c r="O23" s="11">
        <f t="shared" si="0"/>
        <v>159.19999999999999</v>
      </c>
      <c r="P23" s="13">
        <f t="shared" si="1"/>
        <v>1.8425925925925925E-3</v>
      </c>
      <c r="Q23" s="14">
        <f t="shared" si="2"/>
        <v>10.643725329455325</v>
      </c>
      <c r="R23" s="14">
        <f t="shared" si="3"/>
        <v>30</v>
      </c>
      <c r="S23" s="14">
        <f t="shared" si="4"/>
        <v>6.6857571164920389</v>
      </c>
      <c r="T23" s="15">
        <f t="shared" si="5"/>
        <v>0.37073310716792979</v>
      </c>
      <c r="U23" s="15">
        <f t="shared" si="6"/>
        <v>7</v>
      </c>
      <c r="V23" s="71" t="s">
        <v>55</v>
      </c>
      <c r="W23" s="72"/>
      <c r="X23" s="73"/>
    </row>
    <row r="24" spans="1:24" s="10" customFormat="1" ht="21" x14ac:dyDescent="0.4">
      <c r="A24" s="65" t="s">
        <v>72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8">
        <f>SUM(O4:O23)</f>
        <v>3724.3000000000006</v>
      </c>
      <c r="P24" s="9">
        <f>SUM(P4:P23)</f>
        <v>4.3105324074074067E-2</v>
      </c>
      <c r="Q24" s="8"/>
      <c r="R24" s="8"/>
      <c r="S24" s="8"/>
      <c r="T24" s="8"/>
      <c r="U24" s="8"/>
      <c r="V24" s="8"/>
      <c r="W24" s="8"/>
      <c r="X24" s="8"/>
    </row>
    <row r="27" spans="1:24" ht="21" x14ac:dyDescent="0.4">
      <c r="E27" s="61" t="s">
        <v>78</v>
      </c>
      <c r="F27" s="61"/>
      <c r="G27" s="61"/>
      <c r="H27" s="16"/>
      <c r="I27" s="16"/>
      <c r="J27" s="16"/>
    </row>
    <row r="28" spans="1:24" ht="21" x14ac:dyDescent="0.4">
      <c r="E28" s="62" t="s">
        <v>79</v>
      </c>
      <c r="F28" s="62"/>
      <c r="G28" s="62"/>
      <c r="H28" s="62"/>
      <c r="I28" s="62"/>
      <c r="J28" s="62"/>
      <c r="K28" s="62"/>
      <c r="L28" s="62"/>
      <c r="M28" s="62"/>
      <c r="N28" s="62"/>
    </row>
    <row r="29" spans="1:24" ht="21" customHeight="1" x14ac:dyDescent="0.4">
      <c r="E29" s="62" t="s">
        <v>80</v>
      </c>
      <c r="F29" s="62"/>
      <c r="G29" s="62"/>
      <c r="H29" s="62"/>
      <c r="I29" s="62"/>
      <c r="J29" s="62"/>
      <c r="K29" s="62"/>
      <c r="L29" s="62"/>
      <c r="M29" s="62"/>
      <c r="N29" s="62"/>
      <c r="Q29" s="17"/>
    </row>
    <row r="30" spans="1:24" ht="21" customHeight="1" x14ac:dyDescent="0.35">
      <c r="E30" s="63" t="s">
        <v>83</v>
      </c>
      <c r="F30" s="63"/>
      <c r="G30" s="63"/>
      <c r="H30" s="63"/>
      <c r="I30" s="63"/>
      <c r="J30" s="63"/>
      <c r="K30" s="63"/>
      <c r="L30" s="63"/>
      <c r="M30" s="63"/>
      <c r="N30" s="63"/>
    </row>
    <row r="31" spans="1:24" ht="20.399999999999999" x14ac:dyDescent="0.35">
      <c r="E31" s="59" t="s">
        <v>84</v>
      </c>
      <c r="F31" s="59"/>
      <c r="G31" s="59"/>
      <c r="H31" s="59"/>
      <c r="I31" s="59"/>
      <c r="J31" s="59"/>
      <c r="K31" s="59"/>
      <c r="L31" s="59"/>
      <c r="M31" s="59"/>
      <c r="N31" s="59"/>
      <c r="U31" s="58">
        <f>(SUM(O7:O12)-'Findings &amp; Recommendations'!N10)/86400</f>
        <v>1.1866898148148151E-2</v>
      </c>
    </row>
    <row r="32" spans="1:24" ht="20.399999999999999" x14ac:dyDescent="0.35">
      <c r="E32" s="60" t="s">
        <v>85</v>
      </c>
      <c r="F32" s="60"/>
      <c r="G32" s="60"/>
      <c r="H32" s="60"/>
      <c r="I32" s="60"/>
      <c r="J32" s="60"/>
      <c r="K32" s="60"/>
      <c r="L32" s="60"/>
      <c r="M32" s="60"/>
      <c r="N32" s="60"/>
      <c r="U32" s="58">
        <f>(SUM(O13:O16)-'Findings &amp; Recommendations'!N11)/86400</f>
        <v>1.0513715277777778E-2</v>
      </c>
    </row>
    <row r="33" spans="21:21" x14ac:dyDescent="0.3">
      <c r="U33" s="58">
        <f>(O17-48.675)/86400</f>
        <v>3.1924189814814814E-3</v>
      </c>
    </row>
    <row r="34" spans="21:21" x14ac:dyDescent="0.3">
      <c r="U34" s="58">
        <f>(SUM(E18:E19)-'Findings &amp; Recommendations'!N9)/86400</f>
        <v>4.6134259259259262E-3</v>
      </c>
    </row>
    <row r="35" spans="21:21" x14ac:dyDescent="0.3">
      <c r="U35" s="58">
        <f>SUM(O20:O21)/86400</f>
        <v>3.5659722222222225E-3</v>
      </c>
    </row>
  </sheetData>
  <mergeCells count="59">
    <mergeCell ref="V2:X3"/>
    <mergeCell ref="A2:A3"/>
    <mergeCell ref="B2:D3"/>
    <mergeCell ref="E2:N2"/>
    <mergeCell ref="O2:O3"/>
    <mergeCell ref="R2:R3"/>
    <mergeCell ref="B4:D4"/>
    <mergeCell ref="V4:X4"/>
    <mergeCell ref="B5:D5"/>
    <mergeCell ref="V5:X5"/>
    <mergeCell ref="B6:D6"/>
    <mergeCell ref="V6:X6"/>
    <mergeCell ref="B7:D7"/>
    <mergeCell ref="V7:X7"/>
    <mergeCell ref="B8:D8"/>
    <mergeCell ref="V8:X8"/>
    <mergeCell ref="B9:D9"/>
    <mergeCell ref="V9:X9"/>
    <mergeCell ref="B10:D10"/>
    <mergeCell ref="V10:X10"/>
    <mergeCell ref="B11:D11"/>
    <mergeCell ref="V11:X11"/>
    <mergeCell ref="B12:D12"/>
    <mergeCell ref="V12:X12"/>
    <mergeCell ref="B13:D13"/>
    <mergeCell ref="V13:X13"/>
    <mergeCell ref="B14:D14"/>
    <mergeCell ref="V14:X14"/>
    <mergeCell ref="B15:D15"/>
    <mergeCell ref="V15:X15"/>
    <mergeCell ref="V21:X21"/>
    <mergeCell ref="B16:D16"/>
    <mergeCell ref="V16:X16"/>
    <mergeCell ref="B17:D17"/>
    <mergeCell ref="V17:X17"/>
    <mergeCell ref="B18:D18"/>
    <mergeCell ref="V18:X18"/>
    <mergeCell ref="A1:X1"/>
    <mergeCell ref="A24:N24"/>
    <mergeCell ref="U2:U3"/>
    <mergeCell ref="T2:T3"/>
    <mergeCell ref="P2:P3"/>
    <mergeCell ref="Q2:Q3"/>
    <mergeCell ref="S2:S3"/>
    <mergeCell ref="B22:D22"/>
    <mergeCell ref="V22:X22"/>
    <mergeCell ref="B23:D23"/>
    <mergeCell ref="V23:X23"/>
    <mergeCell ref="B19:D19"/>
    <mergeCell ref="V19:X19"/>
    <mergeCell ref="B20:D20"/>
    <mergeCell ref="V20:X20"/>
    <mergeCell ref="B21:D21"/>
    <mergeCell ref="E31:N31"/>
    <mergeCell ref="E32:N32"/>
    <mergeCell ref="E27:G27"/>
    <mergeCell ref="E28:N28"/>
    <mergeCell ref="E29:N29"/>
    <mergeCell ref="E30:N30"/>
  </mergeCells>
  <conditionalFormatting sqref="A4:E4">
    <cfRule type="expression" dxfId="11" priority="2">
      <formula>$U4=5</formula>
    </cfRule>
  </conditionalFormatting>
  <conditionalFormatting sqref="A4:X23">
    <cfRule type="expression" dxfId="10" priority="1">
      <formula>$U4=5</formula>
    </cfRule>
    <cfRule type="expression" dxfId="9" priority="21">
      <formula>$U4=4</formula>
    </cfRule>
    <cfRule type="expression" dxfId="8" priority="22">
      <formula>$U4=3</formula>
    </cfRule>
    <cfRule type="expression" dxfId="7" priority="23">
      <formula>$U4=2</formula>
    </cfRule>
    <cfRule type="expression" dxfId="6" priority="24">
      <formula>$U4=1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8327-DA96-474B-B622-6210424956CE}">
  <dimension ref="A1:H22"/>
  <sheetViews>
    <sheetView zoomScale="62" workbookViewId="0">
      <selection sqref="A1:H21"/>
    </sheetView>
  </sheetViews>
  <sheetFormatPr defaultRowHeight="15.6" x14ac:dyDescent="0.3"/>
  <cols>
    <col min="1" max="1" width="12.3984375" customWidth="1"/>
    <col min="2" max="2" width="52.296875" bestFit="1" customWidth="1"/>
    <col min="3" max="8" width="19.19921875" customWidth="1"/>
  </cols>
  <sheetData>
    <row r="1" spans="1:8" ht="21" x14ac:dyDescent="0.3">
      <c r="A1" s="128" t="s">
        <v>57</v>
      </c>
      <c r="B1" s="129" t="s">
        <v>6</v>
      </c>
      <c r="C1" s="130" t="s">
        <v>73</v>
      </c>
      <c r="D1" s="130" t="s">
        <v>148</v>
      </c>
      <c r="E1" s="130" t="s">
        <v>146</v>
      </c>
      <c r="F1" s="130" t="s">
        <v>147</v>
      </c>
      <c r="G1" s="130" t="s">
        <v>98</v>
      </c>
      <c r="H1" s="130" t="s">
        <v>149</v>
      </c>
    </row>
    <row r="2" spans="1:8" ht="21" x14ac:dyDescent="0.4">
      <c r="A2" s="127">
        <v>1</v>
      </c>
      <c r="B2" s="57" t="s">
        <v>13</v>
      </c>
      <c r="C2" s="11">
        <v>147.5</v>
      </c>
      <c r="D2" s="126">
        <v>1.707175925925926E-3</v>
      </c>
      <c r="E2" s="14">
        <v>5.7975090436420293</v>
      </c>
      <c r="F2" s="14">
        <v>20</v>
      </c>
      <c r="G2" s="14">
        <v>3.9305146058590026</v>
      </c>
      <c r="H2" s="15">
        <f>Analysis!U4</f>
        <v>20</v>
      </c>
    </row>
    <row r="3" spans="1:8" ht="21" x14ac:dyDescent="0.4">
      <c r="A3" s="127">
        <v>2</v>
      </c>
      <c r="B3" s="57" t="s">
        <v>14</v>
      </c>
      <c r="C3" s="11">
        <v>98.9</v>
      </c>
      <c r="D3" s="126">
        <v>1.1446759259259259E-3</v>
      </c>
      <c r="E3" s="14">
        <v>6.4195880795508264</v>
      </c>
      <c r="F3" s="14">
        <v>17</v>
      </c>
      <c r="G3" s="14">
        <v>6.4909889580898135</v>
      </c>
      <c r="H3" s="15">
        <f>Analysis!U5</f>
        <v>19</v>
      </c>
    </row>
    <row r="4" spans="1:8" ht="21" x14ac:dyDescent="0.4">
      <c r="A4" s="127">
        <v>3</v>
      </c>
      <c r="B4" s="57" t="s">
        <v>15</v>
      </c>
      <c r="C4" s="11">
        <v>182.7</v>
      </c>
      <c r="D4" s="126">
        <v>2.1145833333333333E-3</v>
      </c>
      <c r="E4" s="14">
        <v>6.5157927802805071</v>
      </c>
      <c r="F4" s="14">
        <v>18</v>
      </c>
      <c r="G4" s="14">
        <v>3.5663890422991287</v>
      </c>
      <c r="H4" s="15">
        <f>Analysis!U6</f>
        <v>18</v>
      </c>
    </row>
    <row r="5" spans="1:8" ht="21" x14ac:dyDescent="0.4">
      <c r="A5" s="127">
        <v>4</v>
      </c>
      <c r="B5" s="57" t="s">
        <v>16</v>
      </c>
      <c r="C5" s="11">
        <v>256.8</v>
      </c>
      <c r="D5" s="126">
        <v>2.9722222222222225E-3</v>
      </c>
      <c r="E5" s="14">
        <v>8.1213025775152303</v>
      </c>
      <c r="F5" s="14">
        <v>28</v>
      </c>
      <c r="G5" s="14">
        <v>3.1625010037053078</v>
      </c>
      <c r="H5" s="15">
        <f>Analysis!U7</f>
        <v>4</v>
      </c>
    </row>
    <row r="6" spans="1:8" ht="21" x14ac:dyDescent="0.4">
      <c r="A6" s="127">
        <v>5</v>
      </c>
      <c r="B6" s="57" t="s">
        <v>17</v>
      </c>
      <c r="C6" s="11">
        <v>168</v>
      </c>
      <c r="D6" s="126">
        <v>1.9444444444444444E-3</v>
      </c>
      <c r="E6" s="14">
        <v>9.0676470058236287</v>
      </c>
      <c r="F6" s="14">
        <v>25</v>
      </c>
      <c r="G6" s="14">
        <v>5.397408932037874</v>
      </c>
      <c r="H6" s="15">
        <f>Analysis!U8</f>
        <v>12</v>
      </c>
    </row>
    <row r="7" spans="1:8" ht="21" x14ac:dyDescent="0.4">
      <c r="A7" s="127">
        <v>6</v>
      </c>
      <c r="B7" s="57" t="s">
        <v>18</v>
      </c>
      <c r="C7" s="11">
        <v>90.1</v>
      </c>
      <c r="D7" s="126">
        <v>1.0428240740740741E-3</v>
      </c>
      <c r="E7" s="14">
        <v>10.805862606320053</v>
      </c>
      <c r="F7" s="14">
        <v>28.999999999999986</v>
      </c>
      <c r="G7" s="14">
        <v>11.993188242308605</v>
      </c>
      <c r="H7" s="15">
        <f>Analysis!U9</f>
        <v>1</v>
      </c>
    </row>
    <row r="8" spans="1:8" ht="21" x14ac:dyDescent="0.4">
      <c r="A8" s="127">
        <v>7</v>
      </c>
      <c r="B8" s="57" t="s">
        <v>19</v>
      </c>
      <c r="C8" s="11">
        <v>188.3</v>
      </c>
      <c r="D8" s="126">
        <v>2.1793981481481482E-3</v>
      </c>
      <c r="E8" s="14">
        <v>7.4244341348160869</v>
      </c>
      <c r="F8" s="14">
        <v>19</v>
      </c>
      <c r="G8" s="14">
        <v>3.9428752707467272</v>
      </c>
      <c r="H8" s="15">
        <f>Analysis!U10</f>
        <v>14</v>
      </c>
    </row>
    <row r="9" spans="1:8" ht="21" x14ac:dyDescent="0.4">
      <c r="A9" s="127">
        <v>8</v>
      </c>
      <c r="B9" s="57" t="s">
        <v>20</v>
      </c>
      <c r="C9" s="11">
        <v>158</v>
      </c>
      <c r="D9" s="126">
        <v>1.8287037037037037E-3</v>
      </c>
      <c r="E9" s="14">
        <v>7.3484692283495345</v>
      </c>
      <c r="F9" s="14">
        <v>21</v>
      </c>
      <c r="G9" s="14">
        <v>4.6509298913604651</v>
      </c>
      <c r="H9" s="15">
        <f>Analysis!U11</f>
        <v>17</v>
      </c>
    </row>
    <row r="10" spans="1:8" ht="21" x14ac:dyDescent="0.4">
      <c r="A10" s="127">
        <v>9</v>
      </c>
      <c r="B10" s="57" t="s">
        <v>21</v>
      </c>
      <c r="C10" s="11">
        <v>176.9</v>
      </c>
      <c r="D10" s="126">
        <v>2.0474537037037037E-3</v>
      </c>
      <c r="E10" s="14">
        <v>8.4649604580030768</v>
      </c>
      <c r="F10" s="14">
        <v>26</v>
      </c>
      <c r="G10" s="14">
        <v>4.785167019786928</v>
      </c>
      <c r="H10" s="15">
        <f>Analysis!U12</f>
        <v>13</v>
      </c>
    </row>
    <row r="11" spans="1:8" ht="21" x14ac:dyDescent="0.4">
      <c r="A11" s="127">
        <v>10</v>
      </c>
      <c r="B11" s="57" t="s">
        <v>22</v>
      </c>
      <c r="C11" s="11">
        <v>241.2</v>
      </c>
      <c r="D11" s="126">
        <v>2.7916666666666667E-3</v>
      </c>
      <c r="E11" s="14">
        <v>8.1349725124168497</v>
      </c>
      <c r="F11" s="14">
        <v>23</v>
      </c>
      <c r="G11" s="14">
        <v>3.372708338481281</v>
      </c>
      <c r="H11" s="15">
        <f>Analysis!U13</f>
        <v>6</v>
      </c>
    </row>
    <row r="12" spans="1:8" ht="21" x14ac:dyDescent="0.4">
      <c r="A12" s="127">
        <v>11</v>
      </c>
      <c r="B12" s="57" t="s">
        <v>23</v>
      </c>
      <c r="C12" s="11">
        <v>227.5</v>
      </c>
      <c r="D12" s="126">
        <v>2.6331018518518517E-3</v>
      </c>
      <c r="E12" s="14">
        <v>8.4491945704243925</v>
      </c>
      <c r="F12" s="14">
        <v>27.000000000000028</v>
      </c>
      <c r="G12" s="14">
        <v>3.7139316793074251</v>
      </c>
      <c r="H12" s="15">
        <f>Analysis!U14</f>
        <v>9</v>
      </c>
    </row>
    <row r="13" spans="1:8" ht="21" x14ac:dyDescent="0.4">
      <c r="A13" s="127">
        <v>12</v>
      </c>
      <c r="B13" s="57" t="s">
        <v>24</v>
      </c>
      <c r="C13" s="11">
        <v>213.3</v>
      </c>
      <c r="D13" s="126">
        <v>2.46875E-3</v>
      </c>
      <c r="E13" s="14">
        <v>8.1520276959512081</v>
      </c>
      <c r="F13" s="14">
        <v>26</v>
      </c>
      <c r="G13" s="14">
        <v>3.821860148125273</v>
      </c>
      <c r="H13" s="15">
        <f>Analysis!U15</f>
        <v>10</v>
      </c>
    </row>
    <row r="14" spans="1:8" ht="21" x14ac:dyDescent="0.4">
      <c r="A14" s="127">
        <v>13</v>
      </c>
      <c r="B14" s="57" t="s">
        <v>25</v>
      </c>
      <c r="C14" s="11">
        <v>238.3</v>
      </c>
      <c r="D14" s="126">
        <v>2.7581018518518519E-3</v>
      </c>
      <c r="E14" s="14">
        <v>8.5900459189045595</v>
      </c>
      <c r="F14" s="14">
        <v>25</v>
      </c>
      <c r="G14" s="14">
        <v>3.6047192274043476</v>
      </c>
      <c r="H14" s="15">
        <f>Analysis!U16</f>
        <v>5</v>
      </c>
    </row>
    <row r="15" spans="1:8" ht="21" x14ac:dyDescent="0.4">
      <c r="A15" s="127">
        <v>14</v>
      </c>
      <c r="B15" s="57" t="s">
        <v>26</v>
      </c>
      <c r="C15" s="11">
        <v>324.5</v>
      </c>
      <c r="D15" s="126">
        <v>3.7557870370370371E-3</v>
      </c>
      <c r="E15" s="14">
        <v>7.7924464850406396</v>
      </c>
      <c r="F15" s="14">
        <v>23</v>
      </c>
      <c r="G15" s="14">
        <v>2.4013702573314761</v>
      </c>
      <c r="H15" s="15">
        <f>Analysis!U17</f>
        <v>1</v>
      </c>
    </row>
    <row r="16" spans="1:8" ht="21" x14ac:dyDescent="0.4">
      <c r="A16" s="127">
        <v>15</v>
      </c>
      <c r="B16" s="57" t="s">
        <v>27</v>
      </c>
      <c r="C16" s="11">
        <v>136.5</v>
      </c>
      <c r="D16" s="126">
        <v>1.5798611111111111E-3</v>
      </c>
      <c r="E16" s="14">
        <v>9.204467514322717</v>
      </c>
      <c r="F16" s="14">
        <v>30</v>
      </c>
      <c r="G16" s="14">
        <v>6.7431996441924671</v>
      </c>
      <c r="H16" s="15">
        <f>Analysis!U18</f>
        <v>11</v>
      </c>
    </row>
    <row r="17" spans="1:8" ht="21" x14ac:dyDescent="0.4">
      <c r="A17" s="127">
        <v>16</v>
      </c>
      <c r="B17" s="57" t="s">
        <v>28</v>
      </c>
      <c r="C17" s="11">
        <v>284.8</v>
      </c>
      <c r="D17" s="126">
        <v>3.2962962962962963E-3</v>
      </c>
      <c r="E17" s="14">
        <v>9.6586173383610596</v>
      </c>
      <c r="F17" s="14">
        <v>26</v>
      </c>
      <c r="G17" s="14">
        <v>3.3913684474582375</v>
      </c>
      <c r="H17" s="15">
        <f>Analysis!U19</f>
        <v>3</v>
      </c>
    </row>
    <row r="18" spans="1:8" ht="21" x14ac:dyDescent="0.4">
      <c r="A18" s="127">
        <v>17</v>
      </c>
      <c r="B18" s="57" t="s">
        <v>29</v>
      </c>
      <c r="C18" s="11">
        <v>191.8</v>
      </c>
      <c r="D18" s="126">
        <v>2.2199074074074074E-3</v>
      </c>
      <c r="E18" s="14">
        <v>10.250203250017371</v>
      </c>
      <c r="F18" s="14">
        <v>28</v>
      </c>
      <c r="G18" s="14">
        <v>5.3442144160674507</v>
      </c>
      <c r="H18" s="15">
        <f>Analysis!U20</f>
        <v>8</v>
      </c>
    </row>
    <row r="19" spans="1:8" ht="21" x14ac:dyDescent="0.4">
      <c r="A19" s="127">
        <v>18</v>
      </c>
      <c r="B19" s="57" t="s">
        <v>30</v>
      </c>
      <c r="C19" s="11">
        <v>116.3</v>
      </c>
      <c r="D19" s="126">
        <v>1.3460648148148147E-3</v>
      </c>
      <c r="E19" s="14">
        <v>7.5284645033218967</v>
      </c>
      <c r="F19" s="14">
        <v>25.000000000000014</v>
      </c>
      <c r="G19" s="14">
        <v>6.4733142762870992</v>
      </c>
      <c r="H19" s="15">
        <f>Analysis!U21</f>
        <v>16</v>
      </c>
    </row>
    <row r="20" spans="1:8" ht="21" x14ac:dyDescent="0.4">
      <c r="A20" s="127">
        <v>19</v>
      </c>
      <c r="B20" s="57" t="s">
        <v>31</v>
      </c>
      <c r="C20" s="11">
        <v>123.7</v>
      </c>
      <c r="D20" s="126">
        <v>1.431712962962963E-3</v>
      </c>
      <c r="E20" s="14">
        <v>7.9449494788967794</v>
      </c>
      <c r="F20" s="14">
        <v>23</v>
      </c>
      <c r="G20" s="14">
        <v>6.4227562480976381</v>
      </c>
      <c r="H20" s="15">
        <f>Analysis!U22</f>
        <v>15</v>
      </c>
    </row>
    <row r="21" spans="1:8" ht="21" x14ac:dyDescent="0.4">
      <c r="A21" s="131">
        <v>20</v>
      </c>
      <c r="B21" s="132" t="s">
        <v>32</v>
      </c>
      <c r="C21" s="133">
        <v>159.19999999999999</v>
      </c>
      <c r="D21" s="134">
        <v>1.8425925925925925E-3</v>
      </c>
      <c r="E21" s="135">
        <v>10.643725329455325</v>
      </c>
      <c r="F21" s="135">
        <v>30</v>
      </c>
      <c r="G21" s="135">
        <v>6.6857571164920389</v>
      </c>
      <c r="H21" s="136">
        <f>Analysis!U23</f>
        <v>7</v>
      </c>
    </row>
    <row r="22" spans="1:8" ht="21" x14ac:dyDescent="0.4">
      <c r="A22" s="65" t="s">
        <v>72</v>
      </c>
      <c r="B22" s="65"/>
      <c r="C22" s="8">
        <v>3724.3000000000006</v>
      </c>
      <c r="D22" s="9">
        <v>4.3105324074074067E-2</v>
      </c>
      <c r="E22" s="8"/>
      <c r="F22" s="8"/>
      <c r="G22" s="8"/>
      <c r="H22" s="8"/>
    </row>
  </sheetData>
  <mergeCells count="1">
    <mergeCell ref="A22:B22"/>
  </mergeCells>
  <conditionalFormatting sqref="A2:B2">
    <cfRule type="expression" dxfId="5" priority="35">
      <formula>$H2=5</formula>
    </cfRule>
  </conditionalFormatting>
  <conditionalFormatting sqref="A2:H21">
    <cfRule type="expression" dxfId="4" priority="42">
      <formula>$H2=5</formula>
    </cfRule>
    <cfRule type="expression" dxfId="3" priority="43">
      <formula>$H2=4</formula>
    </cfRule>
    <cfRule type="expression" dxfId="2" priority="44">
      <formula>$H2=3</formula>
    </cfRule>
    <cfRule type="expression" dxfId="1" priority="45">
      <formula>$H2=2</formula>
    </cfRule>
    <cfRule type="expression" dxfId="0" priority="46">
      <formula>$H2=1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93E8-8AFD-4754-A3CE-9E023A6CFE97}">
  <dimension ref="A1:P29"/>
  <sheetViews>
    <sheetView tabSelected="1" topLeftCell="D1" zoomScale="19" zoomScaleNormal="25" workbookViewId="0">
      <selection activeCell="N7" sqref="N7:N11"/>
    </sheetView>
  </sheetViews>
  <sheetFormatPr defaultRowHeight="23.4" x14ac:dyDescent="0.45"/>
  <cols>
    <col min="1" max="1" width="38" style="18" bestFit="1" customWidth="1"/>
    <col min="2" max="2" width="63.09765625" style="18" bestFit="1" customWidth="1"/>
    <col min="3" max="3" width="38.3984375" style="18" customWidth="1"/>
    <col min="4" max="4" width="36.5" style="18" customWidth="1"/>
    <col min="5" max="5" width="31.19921875" style="18" bestFit="1" customWidth="1"/>
    <col min="6" max="6" width="34.8984375" style="18" bestFit="1" customWidth="1"/>
    <col min="7" max="7" width="22.296875" style="18" bestFit="1" customWidth="1"/>
    <col min="8" max="8" width="128.296875" style="18" customWidth="1"/>
    <col min="9" max="9" width="76.19921875" style="18" customWidth="1"/>
    <col min="10" max="10" width="53.796875" style="18" bestFit="1" customWidth="1"/>
    <col min="11" max="11" width="103.796875" style="18" customWidth="1"/>
    <col min="12" max="12" width="61.296875" style="18" customWidth="1"/>
    <col min="13" max="13" width="89.69921875" style="18" customWidth="1"/>
    <col min="14" max="14" width="113.3984375" style="18" customWidth="1"/>
    <col min="15" max="15" width="231.5" style="18" customWidth="1"/>
    <col min="16" max="16384" width="8.796875" style="18"/>
  </cols>
  <sheetData>
    <row r="1" spans="1:16" ht="108.6" customHeight="1" x14ac:dyDescent="0.45">
      <c r="A1" s="110" t="s">
        <v>125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2"/>
      <c r="P1" s="34"/>
    </row>
    <row r="2" spans="1:16" ht="39" x14ac:dyDescent="0.45">
      <c r="A2" s="113" t="s">
        <v>126</v>
      </c>
      <c r="B2" s="114"/>
      <c r="C2" s="114"/>
      <c r="D2" s="115"/>
      <c r="E2" s="113" t="s">
        <v>143</v>
      </c>
      <c r="F2" s="114"/>
      <c r="G2" s="114"/>
      <c r="H2" s="115"/>
      <c r="I2" s="113" t="s">
        <v>138</v>
      </c>
      <c r="J2" s="114"/>
      <c r="K2" s="115"/>
      <c r="L2" s="113" t="s">
        <v>139</v>
      </c>
      <c r="M2" s="114"/>
      <c r="N2" s="115"/>
      <c r="O2" s="35" t="s">
        <v>141</v>
      </c>
      <c r="P2" s="22"/>
    </row>
    <row r="3" spans="1:16" ht="108.6" customHeight="1" x14ac:dyDescent="0.45">
      <c r="A3" s="122">
        <v>4.310185185185185E-2</v>
      </c>
      <c r="B3" s="123"/>
      <c r="C3" s="123"/>
      <c r="D3" s="124"/>
      <c r="E3" s="116">
        <v>5</v>
      </c>
      <c r="F3" s="117"/>
      <c r="G3" s="117"/>
      <c r="H3" s="118"/>
      <c r="I3" s="125">
        <v>0.33400000000000002</v>
      </c>
      <c r="J3" s="117"/>
      <c r="K3" s="118"/>
      <c r="L3" s="116" t="s">
        <v>145</v>
      </c>
      <c r="M3" s="117"/>
      <c r="N3" s="118"/>
      <c r="O3" s="56">
        <v>4.1956018518518517E-2</v>
      </c>
      <c r="P3" s="22"/>
    </row>
    <row r="4" spans="1:16" ht="39" x14ac:dyDescent="0.45">
      <c r="A4" s="119" t="s">
        <v>127</v>
      </c>
      <c r="B4" s="120"/>
      <c r="C4" s="120"/>
      <c r="D4" s="121"/>
      <c r="E4" s="119" t="s">
        <v>137</v>
      </c>
      <c r="F4" s="120"/>
      <c r="G4" s="120"/>
      <c r="H4" s="121"/>
      <c r="I4" s="119" t="s">
        <v>144</v>
      </c>
      <c r="J4" s="120"/>
      <c r="K4" s="121"/>
      <c r="L4" s="119" t="s">
        <v>140</v>
      </c>
      <c r="M4" s="120"/>
      <c r="N4" s="121"/>
      <c r="O4" s="36" t="s">
        <v>142</v>
      </c>
      <c r="P4" s="22"/>
    </row>
    <row r="5" spans="1:16" ht="41.4" customHeight="1" x14ac:dyDescent="0.45">
      <c r="A5" s="108" t="s">
        <v>87</v>
      </c>
      <c r="B5" s="108" t="s">
        <v>86</v>
      </c>
      <c r="C5" s="108" t="s">
        <v>88</v>
      </c>
      <c r="D5" s="108"/>
      <c r="E5" s="108"/>
      <c r="F5" s="108"/>
      <c r="G5" s="108"/>
      <c r="H5" s="104" t="s">
        <v>111</v>
      </c>
      <c r="I5" s="105"/>
      <c r="J5" s="104" t="s">
        <v>112</v>
      </c>
      <c r="K5" s="105"/>
      <c r="L5" s="95" t="s">
        <v>81</v>
      </c>
      <c r="M5" s="95" t="s">
        <v>150</v>
      </c>
      <c r="N5" s="96" t="s">
        <v>115</v>
      </c>
      <c r="O5" s="95" t="s">
        <v>114</v>
      </c>
    </row>
    <row r="6" spans="1:16" ht="74.400000000000006" customHeight="1" x14ac:dyDescent="0.45">
      <c r="A6" s="109"/>
      <c r="B6" s="109"/>
      <c r="C6" s="33" t="s">
        <v>97</v>
      </c>
      <c r="D6" s="33" t="s">
        <v>35</v>
      </c>
      <c r="E6" s="33" t="s">
        <v>98</v>
      </c>
      <c r="F6" s="33" t="s">
        <v>99</v>
      </c>
      <c r="G6" s="33" t="s">
        <v>100</v>
      </c>
      <c r="H6" s="104"/>
      <c r="I6" s="105"/>
      <c r="J6" s="104"/>
      <c r="K6" s="105"/>
      <c r="L6" s="95"/>
      <c r="M6" s="95"/>
      <c r="N6" s="95"/>
      <c r="O6" s="95"/>
    </row>
    <row r="7" spans="1:16" ht="409.6" customHeight="1" x14ac:dyDescent="0.45">
      <c r="A7" s="37" t="s">
        <v>90</v>
      </c>
      <c r="B7" s="38" t="s">
        <v>89</v>
      </c>
      <c r="C7" s="39" t="s">
        <v>101</v>
      </c>
      <c r="D7" s="39" t="s">
        <v>102</v>
      </c>
      <c r="E7" s="40">
        <v>2.4E-2</v>
      </c>
      <c r="F7" s="40">
        <v>8.6999999999999994E-2</v>
      </c>
      <c r="G7" s="39">
        <v>7.8</v>
      </c>
      <c r="H7" s="94" t="s">
        <v>128</v>
      </c>
      <c r="I7" s="94"/>
      <c r="J7" s="94" t="s">
        <v>129</v>
      </c>
      <c r="K7" s="100"/>
      <c r="L7" s="41" t="s">
        <v>82</v>
      </c>
      <c r="M7" s="42" t="s">
        <v>120</v>
      </c>
      <c r="N7" s="43">
        <f>324.5*0.15</f>
        <v>48.674999999999997</v>
      </c>
      <c r="O7" s="44" t="s">
        <v>116</v>
      </c>
    </row>
    <row r="8" spans="1:16" ht="409.6" customHeight="1" x14ac:dyDescent="0.45">
      <c r="A8" s="45" t="s">
        <v>90</v>
      </c>
      <c r="B8" s="29" t="s">
        <v>93</v>
      </c>
      <c r="C8" s="24" t="s">
        <v>103</v>
      </c>
      <c r="D8" s="24" t="s">
        <v>104</v>
      </c>
      <c r="E8" s="24" t="s">
        <v>105</v>
      </c>
      <c r="F8" s="25">
        <v>4.2999999999999997E-2</v>
      </c>
      <c r="G8" s="24">
        <v>10.61</v>
      </c>
      <c r="H8" s="97" t="s">
        <v>130</v>
      </c>
      <c r="I8" s="97"/>
      <c r="J8" s="97" t="s">
        <v>131</v>
      </c>
      <c r="K8" s="101"/>
      <c r="L8" s="30" t="s">
        <v>96</v>
      </c>
      <c r="M8" s="31" t="s">
        <v>113</v>
      </c>
      <c r="N8" s="32">
        <v>0</v>
      </c>
      <c r="O8" s="46" t="s">
        <v>117</v>
      </c>
    </row>
    <row r="9" spans="1:16" ht="409.2" customHeight="1" x14ac:dyDescent="0.45">
      <c r="A9" s="47" t="s">
        <v>91</v>
      </c>
      <c r="B9" s="23" t="s">
        <v>94</v>
      </c>
      <c r="C9" s="24" t="s">
        <v>110</v>
      </c>
      <c r="D9" s="24" t="s">
        <v>106</v>
      </c>
      <c r="E9" s="25">
        <v>3.6999999999999998E-2</v>
      </c>
      <c r="F9" s="25">
        <v>7.0999999999999994E-2</v>
      </c>
      <c r="G9" s="24">
        <v>9.66</v>
      </c>
      <c r="H9" s="102" t="s">
        <v>132</v>
      </c>
      <c r="I9" s="102"/>
      <c r="J9" s="102" t="s">
        <v>133</v>
      </c>
      <c r="K9" s="103"/>
      <c r="L9" s="26" t="s">
        <v>82</v>
      </c>
      <c r="M9" s="27" t="s">
        <v>121</v>
      </c>
      <c r="N9" s="28">
        <v>26.4</v>
      </c>
      <c r="O9" s="48" t="s">
        <v>118</v>
      </c>
    </row>
    <row r="10" spans="1:16" ht="409.6" customHeight="1" x14ac:dyDescent="0.45">
      <c r="A10" s="49" t="s">
        <v>91</v>
      </c>
      <c r="B10" s="29" t="s">
        <v>92</v>
      </c>
      <c r="C10" s="24" t="s">
        <v>107</v>
      </c>
      <c r="D10" s="24" t="s">
        <v>104</v>
      </c>
      <c r="E10" s="25">
        <v>3.1600000000000003E-2</v>
      </c>
      <c r="F10" s="25">
        <v>6.8000000000000005E-2</v>
      </c>
      <c r="G10" s="24">
        <v>8.1199999999999992</v>
      </c>
      <c r="H10" s="97" t="s">
        <v>134</v>
      </c>
      <c r="I10" s="97"/>
      <c r="J10" s="97" t="s">
        <v>135</v>
      </c>
      <c r="K10" s="97"/>
      <c r="L10" s="106" t="s">
        <v>96</v>
      </c>
      <c r="M10" s="31" t="s">
        <v>122</v>
      </c>
      <c r="N10" s="32">
        <f>256*0.05</f>
        <v>12.8</v>
      </c>
      <c r="O10" s="46" t="s">
        <v>119</v>
      </c>
    </row>
    <row r="11" spans="1:16" ht="409.6" customHeight="1" x14ac:dyDescent="0.45">
      <c r="A11" s="50" t="s">
        <v>91</v>
      </c>
      <c r="B11" s="51" t="s">
        <v>95</v>
      </c>
      <c r="C11" s="52" t="s">
        <v>108</v>
      </c>
      <c r="D11" s="52" t="s">
        <v>109</v>
      </c>
      <c r="E11" s="53">
        <v>3.5999999999999997E-2</v>
      </c>
      <c r="F11" s="53">
        <v>6.4000000000000001E-2</v>
      </c>
      <c r="G11" s="52">
        <v>8.59</v>
      </c>
      <c r="H11" s="99" t="s">
        <v>136</v>
      </c>
      <c r="I11" s="99"/>
      <c r="J11" s="98"/>
      <c r="K11" s="98"/>
      <c r="L11" s="107"/>
      <c r="M11" s="54" t="s">
        <v>123</v>
      </c>
      <c r="N11" s="54">
        <f>238.3*0.05</f>
        <v>11.915000000000001</v>
      </c>
      <c r="O11" s="55" t="s">
        <v>124</v>
      </c>
    </row>
    <row r="17" spans="5:15" x14ac:dyDescent="0.45">
      <c r="E17" s="19"/>
      <c r="F17" s="19"/>
      <c r="G17" s="19"/>
      <c r="H17" s="19"/>
    </row>
    <row r="18" spans="5:15" x14ac:dyDescent="0.45">
      <c r="E18" s="19"/>
      <c r="F18" s="19"/>
      <c r="G18" s="19"/>
      <c r="H18" s="19"/>
    </row>
    <row r="19" spans="5:15" x14ac:dyDescent="0.45">
      <c r="E19" s="19"/>
      <c r="F19" s="19"/>
      <c r="G19" s="19"/>
      <c r="H19" s="19"/>
    </row>
    <row r="20" spans="5:15" x14ac:dyDescent="0.45">
      <c r="E20" s="19"/>
      <c r="F20" s="19"/>
      <c r="G20" s="19"/>
      <c r="H20" s="19"/>
    </row>
    <row r="21" spans="5:15" x14ac:dyDescent="0.45">
      <c r="E21" s="19"/>
      <c r="F21" s="19"/>
      <c r="G21" s="19"/>
      <c r="H21" s="19"/>
    </row>
    <row r="22" spans="5:15" ht="24" thickBot="1" x14ac:dyDescent="0.5">
      <c r="F22" s="20"/>
      <c r="G22" s="20"/>
    </row>
    <row r="29" spans="5:15" x14ac:dyDescent="0.45">
      <c r="O29" s="21"/>
    </row>
  </sheetData>
  <mergeCells count="32">
    <mergeCell ref="A1:O1"/>
    <mergeCell ref="L2:N2"/>
    <mergeCell ref="L3:N3"/>
    <mergeCell ref="L4:N4"/>
    <mergeCell ref="A2:D2"/>
    <mergeCell ref="A3:D3"/>
    <mergeCell ref="A4:D4"/>
    <mergeCell ref="E2:H2"/>
    <mergeCell ref="E3:H3"/>
    <mergeCell ref="E4:H4"/>
    <mergeCell ref="I2:K2"/>
    <mergeCell ref="I3:K3"/>
    <mergeCell ref="I4:K4"/>
    <mergeCell ref="O5:O6"/>
    <mergeCell ref="A5:A6"/>
    <mergeCell ref="B5:B6"/>
    <mergeCell ref="H5:I6"/>
    <mergeCell ref="C5:G5"/>
    <mergeCell ref="H7:I7"/>
    <mergeCell ref="M5:M6"/>
    <mergeCell ref="N5:N6"/>
    <mergeCell ref="J10:K11"/>
    <mergeCell ref="H11:I11"/>
    <mergeCell ref="L5:L6"/>
    <mergeCell ref="J7:K7"/>
    <mergeCell ref="J8:K8"/>
    <mergeCell ref="J9:K9"/>
    <mergeCell ref="J5:K6"/>
    <mergeCell ref="H8:I8"/>
    <mergeCell ref="H9:I9"/>
    <mergeCell ref="H10:I10"/>
    <mergeCell ref="L10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Aurora Express Time Study</vt:lpstr>
      <vt:lpstr>Analysis</vt:lpstr>
      <vt:lpstr>Sheet1</vt:lpstr>
      <vt:lpstr>Findings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Chappell</dc:creator>
  <cp:lastModifiedBy>Muhammad Hassan Bin Sohail</cp:lastModifiedBy>
  <dcterms:created xsi:type="dcterms:W3CDTF">2024-04-02T18:11:24Z</dcterms:created>
  <dcterms:modified xsi:type="dcterms:W3CDTF">2026-06-11T03:08:25Z</dcterms:modified>
</cp:coreProperties>
</file>